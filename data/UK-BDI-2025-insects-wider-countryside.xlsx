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balint.szilagyi\york_msc\aai_summative\data\"/>
    </mc:Choice>
  </mc:AlternateContent>
  <xr:revisionPtr revIDLastSave="0" documentId="13_ncr:1_{244E3ABE-25CA-4E98-A3A9-E7C3EDA8E783}" xr6:coauthVersionLast="47" xr6:coauthVersionMax="47" xr10:uidLastSave="{00000000-0000-0000-0000-000000000000}"/>
  <bookViews>
    <workbookView xWindow="-120" yWindow="-120" windowWidth="29040" windowHeight="15720" firstSheet="3" activeTab="3" xr2:uid="{ED6C98B2-EC21-46E3-ADD4-F8B59E8632CC}"/>
  </bookViews>
  <sheets>
    <sheet name="Cover_sheet" sheetId="1" r:id="rId1"/>
    <sheet name="Table_of_contents" sheetId="2" r:id="rId2"/>
    <sheet name="Notes" sheetId="3" r:id="rId3"/>
    <sheet name="1" sheetId="4" r:id="rId4"/>
    <sheet name="2" sheetId="5" r:id="rId5"/>
    <sheet name="3"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3" i="6" l="1"/>
  <c r="L52" i="6"/>
  <c r="L51" i="6"/>
  <c r="L50" i="6"/>
  <c r="L49" i="6"/>
  <c r="V48" i="6"/>
  <c r="L48" i="6"/>
  <c r="V47" i="6"/>
  <c r="L47" i="6"/>
  <c r="V46" i="6"/>
  <c r="L46" i="6"/>
  <c r="V45" i="6"/>
  <c r="L45" i="6"/>
  <c r="V44" i="6"/>
  <c r="L44" i="6"/>
  <c r="V43" i="6"/>
  <c r="L43" i="6"/>
  <c r="V42" i="6"/>
  <c r="L42" i="6"/>
  <c r="V41" i="6"/>
  <c r="L41" i="6"/>
  <c r="V40" i="6"/>
  <c r="L40" i="6"/>
  <c r="V39" i="6"/>
  <c r="L39" i="6"/>
  <c r="V38" i="6"/>
  <c r="L38" i="6"/>
  <c r="V37" i="6"/>
  <c r="L37" i="6"/>
  <c r="V36" i="6"/>
  <c r="L36" i="6"/>
  <c r="V35" i="6"/>
  <c r="L35" i="6"/>
  <c r="V34" i="6"/>
  <c r="L34" i="6"/>
  <c r="V33" i="6"/>
  <c r="L33" i="6"/>
  <c r="V32" i="6"/>
  <c r="L32" i="6"/>
  <c r="V31" i="6"/>
  <c r="L31" i="6"/>
  <c r="V30" i="6"/>
  <c r="L30" i="6"/>
  <c r="V29" i="6"/>
  <c r="L29" i="6"/>
  <c r="V28" i="6"/>
  <c r="L28" i="6"/>
  <c r="V27" i="6"/>
  <c r="L27" i="6"/>
  <c r="V26" i="6"/>
  <c r="L26" i="6"/>
  <c r="V25" i="6"/>
  <c r="L25" i="6"/>
  <c r="V24" i="6"/>
  <c r="L24" i="6"/>
  <c r="V23" i="6"/>
  <c r="L23" i="6"/>
  <c r="V22" i="6"/>
  <c r="L22" i="6"/>
  <c r="V21" i="6"/>
  <c r="L21" i="6"/>
  <c r="V20" i="6"/>
  <c r="L20" i="6"/>
  <c r="V19" i="6"/>
  <c r="L19" i="6"/>
  <c r="V18" i="6"/>
  <c r="L18" i="6"/>
  <c r="V17" i="6"/>
  <c r="L17" i="6"/>
  <c r="V16" i="6"/>
  <c r="L16" i="6"/>
  <c r="V15" i="6"/>
  <c r="L15" i="6"/>
  <c r="V14" i="6"/>
  <c r="L14" i="6"/>
  <c r="V13" i="6"/>
  <c r="L13" i="6"/>
  <c r="V12" i="6"/>
  <c r="L12" i="6"/>
  <c r="V11" i="6"/>
  <c r="L11" i="6"/>
  <c r="V10" i="6"/>
  <c r="L10" i="6"/>
</calcChain>
</file>

<file path=xl/sharedStrings.xml><?xml version="1.0" encoding="utf-8"?>
<sst xmlns="http://schemas.openxmlformats.org/spreadsheetml/2006/main" count="1076" uniqueCount="206">
  <si>
    <t>Butterfly trends in the UK, 1976 to 2024</t>
  </si>
  <si>
    <t>Summary</t>
  </si>
  <si>
    <t>This spreadsheet contains the data tables published alongside the UK Biodiversity Indicator for Butterflies, 1976 to 2024.</t>
  </si>
  <si>
    <t>https://jncc.gov.uk/our-work/ukbi-insects-of-the-wider-countryside-butterflies/</t>
  </si>
  <si>
    <t>Publication dates</t>
  </si>
  <si>
    <t>The data tables in this spreadsheet were first published on 2 December 2025</t>
  </si>
  <si>
    <t>Copyright</t>
  </si>
  <si>
    <t>Copyright of data and/or information presented or attached in this document may not reside solely with this Department. Please contact us at biodiversity@defra.gov.uk</t>
  </si>
  <si>
    <t>Interpretation and limitations</t>
  </si>
  <si>
    <t xml:space="preserve">Units, time periods, notes and no data </t>
  </si>
  <si>
    <t xml:space="preserve">Some table headings give units, time periods or the number of species within an index; when this is the case the units, time periods or number of species are presented in round brackets to differentiate them from note markers.
Some cells in the tables refer to notes which can be found in the notes worksheet. Note markers are presented in square brackets, for example: [note 1].
</t>
  </si>
  <si>
    <t>Historic publication dates</t>
  </si>
  <si>
    <t xml:space="preserve">The butterfly statistics release was first published in October 2015. </t>
  </si>
  <si>
    <t xml:space="preserve">Contact details </t>
  </si>
  <si>
    <t>Department for Environment, Food and Rural Affairs</t>
  </si>
  <si>
    <t>Environmental Indicators, Statistics and Reporting team</t>
  </si>
  <si>
    <t xml:space="preserve">Mallard House, Kings Pool, 3 Peasholme Green, York, YO1 7PX </t>
  </si>
  <si>
    <t>biodiversity@defra.gov.uk</t>
  </si>
  <si>
    <t xml:space="preserve">Telephone: 03459 335577 (Defra enquiries) </t>
  </si>
  <si>
    <t xml:space="preserve">Table of contents </t>
  </si>
  <si>
    <t xml:space="preserve">This worksheet contains one table. </t>
  </si>
  <si>
    <t>Worksheet number</t>
  </si>
  <si>
    <t>Worksheet title</t>
  </si>
  <si>
    <t xml:space="preserve">Source </t>
  </si>
  <si>
    <t>Trends in the abundance of butterflies in the UK: 1976 to 2024</t>
  </si>
  <si>
    <t>Butterfly Conservation, UK Centre for Ecology and Hydrology, British Trust for Ornithology, Defra, Joint Nature Conservation Committee</t>
  </si>
  <si>
    <t>Summary of long-term and short-term changes in the abundance of  butterflies in the UK: 1976 to 2024</t>
  </si>
  <si>
    <t>Long-term and short-term changes in individual species abundance trends for butterflies in the UK: 1976 to 2024</t>
  </si>
  <si>
    <t xml:space="preserve">Notes </t>
  </si>
  <si>
    <t xml:space="preserve">Note number </t>
  </si>
  <si>
    <t xml:space="preserve">Note text </t>
  </si>
  <si>
    <t>note 1</t>
  </si>
  <si>
    <t>Although there are 50 species in the UK for the all-species index, two species are counted as one. This is because an aggregate trend is used for the small skipper (Thymelicus lineola) and Essex skipper (Thymelicus sylvestris). These two species have been combined due to historical difficulties in distinguishing between them in the field.</t>
  </si>
  <si>
    <t>note 2</t>
  </si>
  <si>
    <t>In this statistical release, we focus on the habitats used by butterflies. We acknowledge that some generalist species can be host plant specialists and therefore not strictly ‘generalists’. However, for simplicity, we have referred to butterflies of the wider countryside as generalists.</t>
  </si>
  <si>
    <t>note 3</t>
  </si>
  <si>
    <t>Resident species: When we refer to resident species this will not cover all resident species but those resident species for which there is sufficient data for robust analyses.</t>
  </si>
  <si>
    <t>note 4</t>
  </si>
  <si>
    <t>The base year for the UK farmland and woodland indices is 1990. This is because prior to this date, there are insufficient data for a number of species included within the 2 indices.</t>
  </si>
  <si>
    <t>note 5</t>
  </si>
  <si>
    <t>The classifications used to determine individual species trends are: a statistically significant increase, a statistically significant decrease or no statistically significant change (little change).</t>
  </si>
  <si>
    <t>This worksheet contains 7 tables presented next to each other horizontally with one blank column in between each table.</t>
  </si>
  <si>
    <t>The first table applies to all-species of butterflies; the second applies to habitat specialists within all-species; the third applies to generalists within all-species; the fourth applies to farmland butterflies; and the fifth applies to woodland butterflies in the UK.</t>
  </si>
  <si>
    <t xml:space="preserve">Some cells refer to notes which can be found in a table on the notes worksheet. </t>
  </si>
  <si>
    <t>Source: Butterfly Conservation, UK Centre for Ecology and Hydrology, British Trust for Ornithology, Defra, Joint Nature Conservation Committee</t>
  </si>
  <si>
    <t>Table 1: Trends for the abundance of all-species of butterflies resident in the UK (50 species), 1976 to 2024 [notes 1,3]</t>
  </si>
  <si>
    <t>Table 2: Trends for the abundance of habitat specialist butterfly species in the UK (50 species), 1976 to 2024</t>
  </si>
  <si>
    <t>Table 3:  Trends for the abundance of generalist butterfly species in the UK (50 species), 1976 to 2024 [note 2]</t>
  </si>
  <si>
    <t>Table 4: Trends for the abundance of farmland butterflies, UK (44 species), 1990 to 2024 [note 4]</t>
  </si>
  <si>
    <t>Table 5: Trends for the abundance of farmland habitat specialists and farmland generalists, UK (22 species), 1990 to 2024 [notes 2,4]</t>
  </si>
  <si>
    <t>Table 6: Trends for the abundance of woodland butterflies, UK (39 species), 1990 to 2024 [note 4]</t>
  </si>
  <si>
    <t>Table 7: Trends for the abundance of woodland habitat specialists and woodland generalists, UK (39 species), 1990 to 2024 [notes 2,4]</t>
  </si>
  <si>
    <t>Year</t>
  </si>
  <si>
    <t>Unsmoothed index</t>
  </si>
  <si>
    <t>Smoothed index</t>
  </si>
  <si>
    <t>Lower ci</t>
  </si>
  <si>
    <t>Upper ci</t>
  </si>
  <si>
    <t>Species type</t>
  </si>
  <si>
    <t>Habitat specialists</t>
  </si>
  <si>
    <t>Generalists</t>
  </si>
  <si>
    <t>This worksheet contains 5 tables presented next to each other horizontally with one blank column in between each table.</t>
  </si>
  <si>
    <t>Table 1: Long-term and short-term changes in individual species trends for those species included in the ‘all-species’ indicators for the UK (50 species), 1976 to 2024 [notes 1,3,5]</t>
  </si>
  <si>
    <t>Table 2: Long-term and short-term changes in individual species trends for habitat specialist butterflies in the UK (26 species), 1976 to 2024 [note 5]</t>
  </si>
  <si>
    <t>Table 3: Long-term and short-term changes in individual species trends for generalist butterfly species in the UK (24 species), 1976 to 2024 [notes 2,5]</t>
  </si>
  <si>
    <t>Table 4: Long-term and short-term changes in individual species trends for farmland generalist butterflies, UK (22 species), 1990 to 2024 [notes 4, 5]</t>
  </si>
  <si>
    <t>Table 5: Long-term and short-term changes in individual species trends for farmland specialist butterflies, UK (22 species), 1990 to 2024 [notes 4, 5]</t>
  </si>
  <si>
    <t>Table 6: Long-term and short-term changes in individual species trends for woodland generalist butterflies, UK (24 species), 1990 to 2024 [notes 4, 5]</t>
  </si>
  <si>
    <t>Table 7: Long-term and short-term changes in individual species trends for woodland specialist butterflies, UK (15 species), 1990 to 2024 [notes 4, 5]</t>
  </si>
  <si>
    <t>Trend</t>
  </si>
  <si>
    <t>Period</t>
  </si>
  <si>
    <t>No of species</t>
  </si>
  <si>
    <t>Percentage of species</t>
  </si>
  <si>
    <t>Increased</t>
  </si>
  <si>
    <t>Long term</t>
  </si>
  <si>
    <t>Short term</t>
  </si>
  <si>
    <t>No change</t>
  </si>
  <si>
    <t>Decreased</t>
  </si>
  <si>
    <t>This worksheet contains 3 tables presented next to each other horizontally with one blank column in between each table.</t>
  </si>
  <si>
    <t>The first table applies to all-species of butterflies; the second applies to farmland butterflies; and the third applies to woodland butterflies, in the UK.</t>
  </si>
  <si>
    <t>Some cells in the statistical significance of change columns of these tables are blank. This occurs when there is no statistically significant change in the trend for the species referred to in that particular row of the table over the specified time period.</t>
  </si>
  <si>
    <t xml:space="preserve">Colour is used for emphasis in these tables. The statistical significance of change columns explain what this refers to. </t>
  </si>
  <si>
    <t>Table 1: Long-term and short-term trends for all-species of butterflies, UK, 1976 to 2024</t>
  </si>
  <si>
    <t>Table 2: Long-term and short-term trends for farmland butterflies, UK, 1976 to 2024</t>
  </si>
  <si>
    <t>Table 3: Long-term and short-term trends for woodland butterflies, UK, 1976 to 2024</t>
  </si>
  <si>
    <t>Common name</t>
  </si>
  <si>
    <t>Species name</t>
  </si>
  <si>
    <t>Type</t>
  </si>
  <si>
    <t>Long-term change (1976 to 2024)</t>
  </si>
  <si>
    <t>Statistical significance of long-term change</t>
  </si>
  <si>
    <r>
      <t>Long-term trend</t>
    </r>
    <r>
      <rPr>
        <b/>
        <vertAlign val="superscript"/>
        <sz val="12"/>
        <color rgb="FF000000"/>
        <rFont val="Arial"/>
        <family val="2"/>
      </rPr>
      <t xml:space="preserve"> </t>
    </r>
    <r>
      <rPr>
        <b/>
        <sz val="12"/>
        <color rgb="FF000000"/>
        <rFont val="Arial"/>
        <family val="2"/>
      </rPr>
      <t>[note 5]</t>
    </r>
  </si>
  <si>
    <t>Short-term change (2014 to 2024)</t>
  </si>
  <si>
    <t>Statistical significance of short-term change</t>
  </si>
  <si>
    <r>
      <t>Short-term trend</t>
    </r>
    <r>
      <rPr>
        <b/>
        <vertAlign val="superscript"/>
        <sz val="12"/>
        <color rgb="FF000000"/>
        <rFont val="Arial"/>
        <family val="2"/>
      </rPr>
      <t xml:space="preserve"> </t>
    </r>
    <r>
      <rPr>
        <b/>
        <sz val="12"/>
        <color rgb="FF000000"/>
        <rFont val="Arial"/>
        <family val="2"/>
      </rPr>
      <t>[note 5]</t>
    </r>
  </si>
  <si>
    <t>Long-term change (1990 to 2024)</t>
  </si>
  <si>
    <t>Long-term trend [note 5]</t>
  </si>
  <si>
    <t>Short-term trend [note 5]</t>
  </si>
  <si>
    <t>Adonis Blue</t>
  </si>
  <si>
    <t>Polyommatus bellargus</t>
  </si>
  <si>
    <t>Habitat specialist</t>
  </si>
  <si>
    <r>
      <rPr>
        <i/>
        <sz val="12"/>
        <color rgb="FF000000"/>
        <rFont val="Arial"/>
        <family val="2"/>
      </rPr>
      <t>p</t>
    </r>
    <r>
      <rPr>
        <sz val="12"/>
        <color rgb="FF000000"/>
        <rFont val="Arial"/>
        <family val="2"/>
      </rPr>
      <t xml:space="preserve"> less than 0.05</t>
    </r>
  </si>
  <si>
    <t>increasing</t>
  </si>
  <si>
    <t>no change</t>
  </si>
  <si>
    <t>Brimstone</t>
  </si>
  <si>
    <t>Generalist</t>
  </si>
  <si>
    <t>Black Hairstreak</t>
  </si>
  <si>
    <t>Satyrium pruni</t>
  </si>
  <si>
    <r>
      <rPr>
        <i/>
        <sz val="12"/>
        <color rgb="FF000000"/>
        <rFont val="Arial"/>
        <family val="2"/>
      </rPr>
      <t>p</t>
    </r>
    <r>
      <rPr>
        <sz val="12"/>
        <color rgb="FF000000"/>
        <rFont val="Arial"/>
        <family val="2"/>
      </rPr>
      <t xml:space="preserve"> less than 0.01</t>
    </r>
  </si>
  <si>
    <r>
      <rPr>
        <i/>
        <sz val="12"/>
        <color rgb="FF000000"/>
        <rFont val="Arial"/>
        <family val="2"/>
      </rPr>
      <t>p</t>
    </r>
    <r>
      <rPr>
        <sz val="12"/>
        <color rgb="FF000000"/>
        <rFont val="Arial"/>
        <family val="2"/>
      </rPr>
      <t xml:space="preserve"> less than 0.001</t>
    </r>
  </si>
  <si>
    <t>Brown Argus</t>
  </si>
  <si>
    <t>Gonepteryx rhamni</t>
  </si>
  <si>
    <t>Brown Hairstreak</t>
  </si>
  <si>
    <t>Aricia agestis</t>
  </si>
  <si>
    <t>Comma</t>
  </si>
  <si>
    <t>Thecla betulae</t>
  </si>
  <si>
    <t>Chalk Hill Blue</t>
  </si>
  <si>
    <t>Common Blue</t>
  </si>
  <si>
    <r>
      <rPr>
        <i/>
        <sz val="12"/>
        <color rgb="FF000000"/>
        <rFont val="Arial"/>
        <family val="2"/>
      </rPr>
      <t xml:space="preserve">p </t>
    </r>
    <r>
      <rPr>
        <sz val="12"/>
        <color rgb="FF000000"/>
        <rFont val="Arial"/>
        <family val="2"/>
      </rPr>
      <t>less than 0.05</t>
    </r>
  </si>
  <si>
    <t>decreasing</t>
  </si>
  <si>
    <t>Polyommatus coridon</t>
  </si>
  <si>
    <t>Dark Green Fritillary</t>
  </si>
  <si>
    <t>Polygonia c-album</t>
  </si>
  <si>
    <t>Dingy Skipper</t>
  </si>
  <si>
    <t>Polyommatus icarus</t>
  </si>
  <si>
    <t>Duke of Burgundy</t>
  </si>
  <si>
    <t>Argynnis aglaja</t>
  </si>
  <si>
    <t>Essex/Small Skipper</t>
  </si>
  <si>
    <t>Erynnis tages</t>
  </si>
  <si>
    <t>Gatekeeper</t>
  </si>
  <si>
    <t>Hamearis lucina</t>
  </si>
  <si>
    <t>Grayling</t>
  </si>
  <si>
    <t>Thymelicus sylvestris/lineola</t>
  </si>
  <si>
    <t>Green Hairstreak</t>
  </si>
  <si>
    <t>Pyronia tithonus</t>
  </si>
  <si>
    <t>Green-veined White</t>
  </si>
  <si>
    <t>Hipparchia semele</t>
  </si>
  <si>
    <t>Grizzled Skipper</t>
  </si>
  <si>
    <t>Callophrys rubi</t>
  </si>
  <si>
    <t>Heath Fritillary</t>
  </si>
  <si>
    <t>Pieris napi</t>
  </si>
  <si>
    <t>High Brown Fritillary</t>
  </si>
  <si>
    <t>Pyrgus malvae</t>
  </si>
  <si>
    <t>Holly Blue</t>
  </si>
  <si>
    <t>Melitaea athalia</t>
  </si>
  <si>
    <r>
      <rPr>
        <i/>
        <sz val="12"/>
        <color rgb="FF000000"/>
        <rFont val="Arial"/>
        <family val="2"/>
      </rPr>
      <t xml:space="preserve">p </t>
    </r>
    <r>
      <rPr>
        <sz val="12"/>
        <color rgb="FF000000"/>
        <rFont val="Arial"/>
        <family val="2"/>
      </rPr>
      <t>less than 0.01</t>
    </r>
  </si>
  <si>
    <t>Large Skipper</t>
  </si>
  <si>
    <t>Argynnis adippe</t>
  </si>
  <si>
    <t>Large Heath</t>
  </si>
  <si>
    <t>Large White</t>
  </si>
  <si>
    <t>Celastrina argiolus</t>
  </si>
  <si>
    <t>Marbled White</t>
  </si>
  <si>
    <t>Coenonympha tullia</t>
  </si>
  <si>
    <t>Meadow Brown</t>
  </si>
  <si>
    <t>Ochlodes sylvanus</t>
  </si>
  <si>
    <t>Lulworth Skipper</t>
  </si>
  <si>
    <t>Orange-tip</t>
  </si>
  <si>
    <t>Pieris brassicae</t>
  </si>
  <si>
    <t>Peacock</t>
  </si>
  <si>
    <t>Thymelicus acteon</t>
  </si>
  <si>
    <t>Marsh Fritillary</t>
  </si>
  <si>
    <t>Pearl-bordered Fritillary</t>
  </si>
  <si>
    <t>Melanargia galathea</t>
  </si>
  <si>
    <t>Purple Emperor</t>
  </si>
  <si>
    <t>Euphydryas aurinia</t>
  </si>
  <si>
    <t>Northern Brown Argus</t>
  </si>
  <si>
    <t>Purple Hairstreak</t>
  </si>
  <si>
    <t>Maniola jurtina</t>
  </si>
  <si>
    <t>Ringlet</t>
  </si>
  <si>
    <t>Aricia artaxerxes</t>
  </si>
  <si>
    <t>Scotch Argus</t>
  </si>
  <si>
    <t>Anthocharis cardamines</t>
  </si>
  <si>
    <t>Silver-washed Fritillary</t>
  </si>
  <si>
    <t>Aglais io</t>
  </si>
  <si>
    <t>Small Copper</t>
  </si>
  <si>
    <t>Boloria euphrosyne</t>
  </si>
  <si>
    <t>Small Heath</t>
  </si>
  <si>
    <t>Apatura iris</t>
  </si>
  <si>
    <t>Silver-spotted Skipper</t>
  </si>
  <si>
    <t>Small Pearl-bordered Fritillary</t>
  </si>
  <si>
    <t>Favonius quercus</t>
  </si>
  <si>
    <t>Silver-studded Blue</t>
  </si>
  <si>
    <t>Small Tortoiseshell</t>
  </si>
  <si>
    <t>Aphantopus hyperantus</t>
  </si>
  <si>
    <t>Small Blue</t>
  </si>
  <si>
    <t>Small White</t>
  </si>
  <si>
    <t>Erebia aethiops</t>
  </si>
  <si>
    <t>Speckled Wood</t>
  </si>
  <si>
    <t>Hesperia comma</t>
  </si>
  <si>
    <t>Wall</t>
  </si>
  <si>
    <t>Plebejus argus</t>
  </si>
  <si>
    <t>White Admiral</t>
  </si>
  <si>
    <t>Argynnis paphia</t>
  </si>
  <si>
    <t>White-letter Hairstreak</t>
  </si>
  <si>
    <t>Cupido minimus</t>
  </si>
  <si>
    <t>Wood White</t>
  </si>
  <si>
    <t>Lycaena phlaeas</t>
  </si>
  <si>
    <t>Coenonympha pamphilus</t>
  </si>
  <si>
    <t>Swallowtail</t>
  </si>
  <si>
    <t>Boloria selene</t>
  </si>
  <si>
    <t>Aglais urticae</t>
  </si>
  <si>
    <t>Pieris rapae</t>
  </si>
  <si>
    <t>Pararge aegeria</t>
  </si>
  <si>
    <t>Papilio machaon</t>
  </si>
  <si>
    <t>Lasiommata megera</t>
  </si>
  <si>
    <t>Limenitis camilla</t>
  </si>
  <si>
    <t>Satyrium w-album</t>
  </si>
  <si>
    <t>Leptidea sinapis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</si>
</sst>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0" x14ac:knownFonts="1">
    <font>
      <sz val="12"/>
      <color rgb="FF000000"/>
      <name val="Arial"/>
      <family val="2"/>
    </font>
    <font>
      <sz val="12"/>
      <color rgb="FF000000"/>
      <name val="Arial"/>
      <family val="2"/>
    </font>
    <font>
      <b/>
      <sz val="14"/>
      <color rgb="FF000000"/>
      <name val="Arial"/>
      <family val="2"/>
    </font>
    <font>
      <b/>
      <sz val="12"/>
      <color rgb="FF000000"/>
      <name val="Arial"/>
      <family val="2"/>
    </font>
    <font>
      <u/>
      <sz val="12"/>
      <color rgb="FF467886"/>
      <name val="Arial"/>
      <family val="2"/>
    </font>
    <font>
      <sz val="11"/>
      <color rgb="FF000000"/>
      <name val="Aptos Narrow"/>
      <family val="2"/>
    </font>
    <font>
      <sz val="11"/>
      <color rgb="FF000000"/>
      <name val="Arial"/>
      <family val="2"/>
    </font>
    <font>
      <b/>
      <vertAlign val="superscript"/>
      <sz val="12"/>
      <color rgb="FF000000"/>
      <name val="Arial"/>
      <family val="2"/>
    </font>
    <font>
      <sz val="12"/>
      <color rgb="FF2073BC"/>
      <name val="Arial"/>
      <family val="2"/>
    </font>
    <font>
      <i/>
      <sz val="12"/>
      <color rgb="FF000000"/>
      <name val="Arial"/>
      <family val="2"/>
    </font>
  </fonts>
  <fills count="2">
    <fill>
      <patternFill patternType="none"/>
    </fill>
    <fill>
      <patternFill patternType="gray125"/>
    </fill>
  </fills>
  <borders count="1">
    <border>
      <left/>
      <right/>
      <top/>
      <bottom/>
      <diagonal/>
    </border>
  </borders>
  <cellStyleXfs count="7">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5" fillId="0" borderId="0" applyNumberFormat="0" applyBorder="0" applyProtection="0"/>
    <xf numFmtId="0" fontId="1" fillId="0" borderId="0" applyNumberFormat="0" applyFont="0" applyBorder="0" applyProtection="0"/>
  </cellStyleXfs>
  <cellXfs count="47">
    <xf numFmtId="0" fontId="0" fillId="0" borderId="0" xfId="0"/>
    <xf numFmtId="49" fontId="2" fillId="0" borderId="0" xfId="0" applyNumberFormat="1" applyFont="1" applyAlignment="1">
      <alignment horizontal="left" vertical="center" wrapText="1"/>
    </xf>
    <xf numFmtId="49" fontId="3" fillId="0" borderId="0" xfId="0" applyNumberFormat="1" applyFont="1" applyAlignment="1">
      <alignment horizontal="left" vertical="center" wrapText="1"/>
    </xf>
    <xf numFmtId="49" fontId="0" fillId="0" borderId="0" xfId="0" applyNumberFormat="1" applyAlignment="1">
      <alignment wrapText="1"/>
    </xf>
    <xf numFmtId="49" fontId="4" fillId="0" borderId="0" xfId="3" applyNumberFormat="1" applyAlignment="1">
      <alignment horizontal="left" vertical="center" wrapText="1"/>
    </xf>
    <xf numFmtId="49" fontId="3" fillId="0" borderId="0" xfId="0" applyNumberFormat="1" applyFont="1" applyAlignment="1">
      <alignment wrapText="1"/>
    </xf>
    <xf numFmtId="49" fontId="0" fillId="0" borderId="0" xfId="0" applyNumberFormat="1"/>
    <xf numFmtId="49" fontId="2" fillId="0" borderId="0" xfId="0" applyNumberFormat="1" applyFont="1" applyAlignment="1">
      <alignment vertical="center"/>
    </xf>
    <xf numFmtId="0" fontId="0" fillId="0" borderId="0" xfId="0" applyAlignment="1">
      <alignment vertical="center" wrapText="1"/>
    </xf>
    <xf numFmtId="0" fontId="6" fillId="0" borderId="0" xfId="0" applyFont="1" applyAlignment="1">
      <alignment vertical="center" wrapText="1"/>
    </xf>
    <xf numFmtId="49" fontId="0" fillId="0" borderId="0" xfId="0" applyNumberFormat="1" applyAlignment="1">
      <alignment horizontal="left" vertical="center"/>
    </xf>
    <xf numFmtId="49" fontId="3" fillId="0" borderId="0" xfId="0" applyNumberFormat="1" applyFont="1" applyAlignment="1">
      <alignment horizontal="center" vertical="top"/>
    </xf>
    <xf numFmtId="49" fontId="3" fillId="0" borderId="0" xfId="0" applyNumberFormat="1" applyFont="1" applyAlignment="1">
      <alignment horizontal="left" vertical="top" wrapText="1"/>
    </xf>
    <xf numFmtId="1" fontId="0" fillId="0" borderId="0" xfId="0" applyNumberFormat="1" applyAlignment="1">
      <alignment horizontal="center" vertical="top"/>
    </xf>
    <xf numFmtId="49" fontId="0" fillId="0" borderId="0" xfId="0" applyNumberFormat="1" applyAlignment="1">
      <alignment horizontal="left" vertical="top" wrapText="1"/>
    </xf>
    <xf numFmtId="49" fontId="4" fillId="0" borderId="0" xfId="3" applyNumberFormat="1" applyAlignment="1">
      <alignment horizontal="left" vertical="top" wrapText="1"/>
    </xf>
    <xf numFmtId="1" fontId="0" fillId="0" borderId="0" xfId="0" applyNumberFormat="1" applyAlignment="1">
      <alignment horizontal="left"/>
    </xf>
    <xf numFmtId="0" fontId="0" fillId="0" borderId="0" xfId="0" applyAlignment="1">
      <alignment vertical="center"/>
    </xf>
    <xf numFmtId="0" fontId="0" fillId="0" borderId="0" xfId="0" applyAlignment="1">
      <alignment wrapText="1"/>
    </xf>
    <xf numFmtId="49" fontId="2" fillId="0" borderId="0" xfId="0" applyNumberFormat="1"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49" fontId="3" fillId="0" borderId="0" xfId="0" applyNumberFormat="1" applyFont="1" applyAlignment="1">
      <alignment horizontal="left" vertical="top"/>
    </xf>
    <xf numFmtId="49" fontId="3" fillId="0" borderId="0" xfId="0" applyNumberFormat="1" applyFont="1" applyAlignment="1">
      <alignment horizontal="left" wrapText="1"/>
    </xf>
    <xf numFmtId="0" fontId="3" fillId="0" borderId="0" xfId="0" applyFont="1" applyAlignment="1">
      <alignment horizontal="left" vertical="center"/>
    </xf>
    <xf numFmtId="0" fontId="3" fillId="0" borderId="0" xfId="0" applyFont="1" applyAlignment="1">
      <alignment horizontal="left" vertical="center" wrapText="1"/>
    </xf>
    <xf numFmtId="49" fontId="0" fillId="0" borderId="0" xfId="0" applyNumberFormat="1" applyAlignment="1">
      <alignment horizontal="left" vertical="center" wrapText="1"/>
    </xf>
    <xf numFmtId="49" fontId="0" fillId="0" borderId="0" xfId="0" applyNumberFormat="1" applyAlignment="1">
      <alignment vertical="center" wrapText="1"/>
    </xf>
    <xf numFmtId="49" fontId="2" fillId="0" borderId="0" xfId="1" applyNumberFormat="1" applyFill="1" applyAlignment="1">
      <alignment vertical="center"/>
    </xf>
    <xf numFmtId="49" fontId="3" fillId="0" borderId="0" xfId="2" applyNumberFormat="1" applyFill="1" applyAlignment="1">
      <alignment vertical="center" wrapText="1"/>
    </xf>
    <xf numFmtId="0" fontId="3" fillId="0" borderId="0" xfId="2" applyFill="1" applyAlignment="1">
      <alignment vertical="center" wrapText="1"/>
    </xf>
    <xf numFmtId="164" fontId="3" fillId="0" borderId="0" xfId="5" applyNumberFormat="1" applyFont="1" applyAlignment="1">
      <alignment wrapText="1"/>
    </xf>
    <xf numFmtId="0" fontId="3" fillId="0" borderId="0" xfId="0" applyFont="1" applyAlignment="1">
      <alignment horizontal="center" wrapText="1"/>
    </xf>
    <xf numFmtId="0" fontId="0" fillId="0" borderId="0" xfId="0" applyAlignment="1">
      <alignment vertical="top"/>
    </xf>
    <xf numFmtId="2" fontId="0" fillId="0" borderId="0" xfId="0" applyNumberFormat="1" applyAlignment="1">
      <alignment horizontal="right" wrapText="1"/>
    </xf>
    <xf numFmtId="0" fontId="0" fillId="0" borderId="0" xfId="0" applyAlignment="1">
      <alignment horizontal="right" wrapText="1"/>
    </xf>
    <xf numFmtId="1" fontId="0" fillId="0" borderId="0" xfId="0" applyNumberFormat="1" applyAlignment="1">
      <alignment vertical="top"/>
    </xf>
    <xf numFmtId="2" fontId="0" fillId="0" borderId="0" xfId="0" applyNumberFormat="1"/>
    <xf numFmtId="1" fontId="0" fillId="0" borderId="0" xfId="5" applyNumberFormat="1" applyFont="1" applyAlignment="1">
      <alignment wrapText="1"/>
    </xf>
    <xf numFmtId="1" fontId="0" fillId="0" borderId="0" xfId="0" applyNumberFormat="1"/>
    <xf numFmtId="1" fontId="0" fillId="0" borderId="0" xfId="0" applyNumberFormat="1" applyAlignment="1">
      <alignment horizontal="right" wrapText="1"/>
    </xf>
    <xf numFmtId="0" fontId="5" fillId="0" borderId="0" xfId="5"/>
    <xf numFmtId="0" fontId="3" fillId="0" borderId="0" xfId="5" applyFont="1" applyAlignment="1">
      <alignment wrapText="1"/>
    </xf>
    <xf numFmtId="49" fontId="3" fillId="0" borderId="0" xfId="6" applyNumberFormat="1" applyFont="1" applyAlignment="1">
      <alignment horizontal="left" vertical="center" wrapText="1"/>
    </xf>
    <xf numFmtId="0" fontId="0" fillId="0" borderId="0" xfId="5" applyFont="1"/>
    <xf numFmtId="0" fontId="8" fillId="0" borderId="0" xfId="5" applyFont="1"/>
    <xf numFmtId="1" fontId="1" fillId="0" borderId="0" xfId="5" applyNumberFormat="1" applyFont="1" applyAlignment="1">
      <alignment wrapText="1"/>
    </xf>
  </cellXfs>
  <cellStyles count="7">
    <cellStyle name="Heading 1 2" xfId="1" xr:uid="{0876CF5C-E0D8-4C4F-BD14-F2B84910C4B4}"/>
    <cellStyle name="Heading 2 2" xfId="2" xr:uid="{1A822D46-C95E-42BA-84C9-A8E88F7C79EA}"/>
    <cellStyle name="Hyperlink" xfId="3" xr:uid="{5B778FFE-8E86-445C-A7D3-03F743D7D9C6}"/>
    <cellStyle name="Hyperlink 2" xfId="4" xr:uid="{98C84586-DCBF-4848-8581-2B77003AC40E}"/>
    <cellStyle name="Normal" xfId="0" builtinId="0" customBuiltin="1"/>
    <cellStyle name="Normal 2" xfId="5" xr:uid="{993CBE75-06C7-4F85-B686-A27F4913AA3C}"/>
    <cellStyle name="Normal 5" xfId="6" xr:uid="{A4D65F64-81F5-48DE-A16E-BEA1646E1AE8}"/>
  </cellStyles>
  <dxfs count="119">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2073BC"/>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numFmt numFmtId="30" formatCode="@"/>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2073BC"/>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numFmt numFmtId="30" formatCode="@"/>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2073BC"/>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rgb="FF000000"/>
        <name val="Arial"/>
        <family val="2"/>
        <scheme val="none"/>
      </font>
      <numFmt numFmtId="30" formatCode="@"/>
      <alignment horizontal="left" vertical="center"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center"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center" vertical="bottom" textRotation="0" wrapText="1" indent="0" justifyLastLine="0" shrinkToFit="0" readingOrder="0"/>
    </dxf>
    <dxf>
      <numFmt numFmtId="1" formatCode="0"/>
      <alignment horizontal="right" vertical="bottom" textRotation="0" wrapText="1" indent="0" justifyLastLine="0" shrinkToFit="0" readingOrder="0"/>
    </dxf>
    <dxf>
      <numFmt numFmtId="1" formatCode="0"/>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center" vertical="bottom" textRotation="0" wrapText="1" indent="0" justifyLastLine="0" shrinkToFit="0" readingOrder="0"/>
    </dxf>
    <dxf>
      <numFmt numFmtId="1" formatCode="0"/>
      <alignment horizontal="right" vertical="bottom" textRotation="0" wrapText="1" indent="0" justifyLastLine="0" shrinkToFit="0" readingOrder="0"/>
    </dxf>
    <dxf>
      <numFmt numFmtId="1" formatCode="0"/>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center" vertical="bottom" textRotation="0" wrapText="1" indent="0" justifyLastLine="0" shrinkToFit="0" readingOrder="0"/>
    </dxf>
    <dxf>
      <numFmt numFmtId="1" formatCode="0"/>
      <alignment horizontal="right" vertical="bottom" textRotation="0" wrapText="1" indent="0" justifyLastLine="0" shrinkToFit="0" readingOrder="0"/>
    </dxf>
    <dxf>
      <numFmt numFmtId="1" formatCode="0"/>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center" vertical="bottom" textRotation="0" wrapText="1" indent="0" justifyLastLine="0" shrinkToFit="0" readingOrder="0"/>
    </dxf>
    <dxf>
      <numFmt numFmtId="1" formatCode="0"/>
      <alignment horizontal="right" vertical="bottom" textRotation="0" wrapText="1" indent="0" justifyLastLine="0" shrinkToFit="0" readingOrder="0"/>
    </dxf>
    <dxf>
      <numFmt numFmtId="1" formatCode="0"/>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center" vertical="bottom" textRotation="0" wrapText="1" indent="0" justifyLastLine="0" shrinkToFit="0" readingOrder="0"/>
    </dxf>
    <dxf>
      <numFmt numFmtId="1" formatCode="0"/>
      <alignment horizontal="right" vertical="bottom" textRotation="0" wrapText="1" indent="0" justifyLastLine="0" shrinkToFit="0" readingOrder="0"/>
    </dxf>
    <dxf>
      <numFmt numFmtId="1" formatCode="0"/>
      <alignment horizontal="right" vertical="bottom"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center"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alignment horizontal="right" vertical="bottom" textRotation="0" wrapText="1" indent="0" justifyLastLine="0" shrinkToFit="0" readingOrder="0"/>
    </dxf>
    <dxf>
      <numFmt numFmtId="1" formatCode="0"/>
      <alignment horizontal="general" vertical="top" textRotation="0" wrapText="0" indent="0" justifyLastLine="0" shrinkToFit="0" readingOrder="0"/>
    </dxf>
    <dxf>
      <alignment horizontal="righ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center"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1" formatCode="0"/>
      <alignment horizontal="general" vertical="top" textRotation="0" wrapText="0" indent="0" justifyLastLine="0" shrinkToFit="0" readingOrder="0"/>
    </dxf>
    <dxf>
      <alignment horizontal="righ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center"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alignment horizontal="right" vertical="bottom" textRotation="0" wrapText="1" indent="0" justifyLastLine="0" shrinkToFit="0" readingOrder="0"/>
    </dxf>
    <dxf>
      <numFmt numFmtId="1" formatCode="0"/>
      <alignment horizontal="general" vertical="top" textRotation="0" wrapText="0" indent="0" justifyLastLine="0" shrinkToFit="0" readingOrder="0"/>
    </dxf>
    <dxf>
      <alignment horizontal="righ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center"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alignment horizontal="general" vertical="top" textRotation="0" wrapText="0" indent="0" justifyLastLine="0" shrinkToFit="0" readingOrder="0"/>
    </dxf>
    <dxf>
      <alignment horizontal="righ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center"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alignment horizontal="general" vertical="top" textRotation="0" wrapText="0" indent="0" justifyLastLine="0" shrinkToFit="0" readingOrder="0"/>
    </dxf>
    <dxf>
      <alignment horizontal="righ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center"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alignment horizontal="general" vertical="top" textRotation="0" wrapText="0" indent="0" justifyLastLine="0" shrinkToFit="0" readingOrder="0"/>
    </dxf>
    <dxf>
      <alignment horizontal="righ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center"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numFmt numFmtId="2" formatCode="0.00"/>
      <alignment horizontal="right" vertical="bottom" textRotation="0" wrapText="1" indent="0" justifyLastLine="0" shrinkToFit="0" readingOrder="0"/>
    </dxf>
    <dxf>
      <alignment horizontal="general" vertical="top" textRotation="0" wrapText="0" indent="0" justifyLastLine="0" shrinkToFit="0" readingOrder="0"/>
    </dxf>
    <dxf>
      <alignment horizontal="right" vertical="bottom"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3985E7-7445-4401-932A-A0171C64A291}" name="Table_of_contents" displayName="Table_of_contents" ref="A3:C7" totalsRowShown="0">
  <tableColumns count="3">
    <tableColumn id="1" xr3:uid="{40347D6B-5AA5-434D-80A7-BE1082F68369}" name="Worksheet number"/>
    <tableColumn id="2" xr3:uid="{F6730E95-1900-497C-AC07-690B156B192E}" name="Worksheet title"/>
    <tableColumn id="3" xr3:uid="{4B94641C-BFD7-420F-A7B4-668E8C7B66F7}" name="Source "/>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6D7BDA-E6C1-4E2D-A1E5-64884E0F1BFA}" name="Notes_table" displayName="Notes_table" ref="A3:B9" totalsRowShown="0">
  <tableColumns count="2">
    <tableColumn id="1" xr3:uid="{9A967473-FDAF-4530-9854-FAE571D53505}" name="Note number "/>
    <tableColumn id="2" xr3:uid="{939D4116-BE67-4C72-B872-84DD0F7C7694}" name="Note text "/>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E36D32-71A3-4320-B0CA-E0A99732DB62}" name="Table3" displayName="Table3" ref="A7:E56" totalsRowShown="0" headerRowDxfId="118" dataDxfId="117">
  <tableColumns count="5">
    <tableColumn id="1" xr3:uid="{E8CC1CDF-16F7-4506-8179-0243C9A831D9}" name="Year" dataDxfId="116"/>
    <tableColumn id="2" xr3:uid="{C41E84A0-C882-49FA-B018-596A8856AB58}" name="Unsmoothed index" dataDxfId="115"/>
    <tableColumn id="3" xr3:uid="{B9C42D4C-A0DD-4098-AC2F-5ED39FBF98F6}" name="Smoothed index" dataDxfId="114"/>
    <tableColumn id="4" xr3:uid="{5A379EF6-0FC3-4935-A3FA-C2905DAE736E}" name="Lower ci" dataDxfId="113"/>
    <tableColumn id="5" xr3:uid="{A03B1E9E-4868-443C-9577-ABFCEFD26601}" name="Upper ci" dataDxfId="11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93EAC6-9C63-4833-B004-3BB88968D447}" name="Table4" displayName="Table4" ref="G7:K56" totalsRowShown="0" headerRowDxfId="111" dataDxfId="110">
  <tableColumns count="5">
    <tableColumn id="1" xr3:uid="{78B59AB4-E921-44BF-BD01-F151332FB195}" name="Year" dataDxfId="109"/>
    <tableColumn id="2" xr3:uid="{7CE3C6F2-660D-4715-AC1F-9AEF38B6D83B}" name="Unsmoothed index" dataDxfId="108"/>
    <tableColumn id="3" xr3:uid="{5B07EB1B-27C5-430C-987C-B1C3FFAFEA19}" name="Smoothed index" dataDxfId="107"/>
    <tableColumn id="4" xr3:uid="{A01000DC-6EA7-4232-B9FB-DC872D33312D}" name="Lower ci" dataDxfId="106"/>
    <tableColumn id="5" xr3:uid="{15DD1144-4989-49B9-8C8D-9093AF4416FB}" name="Upper ci" dataDxfId="10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81BBB1B-447E-4F74-BDF7-AE4F1126C1E4}" name="Table5" displayName="Table5" ref="M7:Q56" totalsRowShown="0" headerRowDxfId="104" dataDxfId="103">
  <tableColumns count="5">
    <tableColumn id="1" xr3:uid="{DBB75ACF-D5C5-4CC2-98EA-844E5C878FF5}" name="Year" dataDxfId="102"/>
    <tableColumn id="2" xr3:uid="{2DA1CA27-7D87-44C4-AB33-85EDC0930D35}" name="Unsmoothed index" dataDxfId="101"/>
    <tableColumn id="3" xr3:uid="{48650B67-F4A2-4A94-ABA9-D77178061AF8}" name="Smoothed index" dataDxfId="100"/>
    <tableColumn id="4" xr3:uid="{E5C55F52-7EAC-4DAF-B40C-26484D2B2015}" name="Lower ci" dataDxfId="99"/>
    <tableColumn id="5" xr3:uid="{0EA73C7E-55DD-46E2-B5CB-F49CB3C1CEE9}" name="Upper ci" dataDxfId="9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DDB3418-760C-4D90-AB73-3E870D33CDDE}" name="Table6" displayName="Table6" ref="S7:W42" totalsRowShown="0" headerRowDxfId="97" dataDxfId="96">
  <tableColumns count="5">
    <tableColumn id="1" xr3:uid="{DB7B6BB1-1BF6-454B-BC3E-D630433ECEDB}" name="Year" dataDxfId="95"/>
    <tableColumn id="2" xr3:uid="{43063786-66A3-4EA5-89D0-1EE55A09FDAB}" name="Unsmoothed index" dataDxfId="94"/>
    <tableColumn id="3" xr3:uid="{9A68FD63-7395-4D68-89BD-2C4262B87D84}" name="Smoothed index" dataDxfId="93"/>
    <tableColumn id="4" xr3:uid="{01A9871D-6E68-4618-8FFC-5EBFE05527FD}" name="Lower ci" dataDxfId="92"/>
    <tableColumn id="5" xr3:uid="{54AF9B78-F843-4C18-9F6D-4B854E5D536F}" name="Upper ci" dataDxfId="91"/>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6B1C20-3DFD-466F-B9DF-F54496CA0C0D}" name="Table7" displayName="Table7" ref="Y7:AD77" totalsRowShown="0" headerRowDxfId="90" dataDxfId="89">
  <tableColumns count="6">
    <tableColumn id="1" xr3:uid="{E9F74469-BDCB-42DC-8F3C-6D64E2FE6CE2}" name="Year" dataDxfId="88"/>
    <tableColumn id="2" xr3:uid="{106E8A21-F61C-483F-9AA7-52C2530BE06B}" name="Species type" dataDxfId="87"/>
    <tableColumn id="3" xr3:uid="{3F5E2A09-748B-43F9-A7DF-F617AE5BABD8}" name="Unsmoothed index" dataDxfId="86"/>
    <tableColumn id="4" xr3:uid="{FE8C76ED-ECC8-471C-8013-DB1584F727BF}" name="Smoothed index" dataDxfId="85"/>
    <tableColumn id="5" xr3:uid="{6781CCE2-F080-4AD2-B378-667FA468A402}" name="Lower ci" dataDxfId="84"/>
    <tableColumn id="6" xr3:uid="{800F1191-6FF0-4A46-8942-6880D980FA8C}" name="Upper ci" dataDxfId="83"/>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F66A047-D977-48B5-871E-84C71727FF0E}" name="Table8" displayName="Table8" ref="AF7:AJ42" totalsRowShown="0" headerRowDxfId="82" dataDxfId="81">
  <tableColumns count="5">
    <tableColumn id="1" xr3:uid="{02305EFB-2A66-42B9-BA66-29B9B673070F}" name="Year" dataDxfId="80"/>
    <tableColumn id="2" xr3:uid="{1426924B-7D00-49F0-8FE2-0A21AB5951FD}" name="Unsmoothed index" dataDxfId="79"/>
    <tableColumn id="3" xr3:uid="{526BFEAB-9A8B-467C-9556-DAD7C02C6184}" name="Smoothed index" dataDxfId="78"/>
    <tableColumn id="4" xr3:uid="{71B03C99-D271-4DFE-8CAF-78E05DD8A38B}" name="Lower ci" dataDxfId="77"/>
    <tableColumn id="5" xr3:uid="{9E051298-BFC1-4509-A063-BA8200FFAC5B}" name="Upper ci" dataDxfId="76"/>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B1FEC7-641C-4B59-916A-252D72AFFDAE}" name="Table9" displayName="Table9" ref="AL7:AQ77" totalsRowShown="0" headerRowDxfId="75" dataDxfId="74">
  <tableColumns count="6">
    <tableColumn id="1" xr3:uid="{9F5F81A1-82B8-4567-AC15-A6187A8F6CFC}" name="Year" dataDxfId="73"/>
    <tableColumn id="2" xr3:uid="{41269E25-9E87-455D-BEAE-5E502907156B}" name="Species type" dataDxfId="72"/>
    <tableColumn id="3" xr3:uid="{5C83A963-49E4-41A9-8B80-7DE575AE8BF4}" name="Unsmoothed index" dataDxfId="71"/>
    <tableColumn id="4" xr3:uid="{2097EE89-F9C4-4C52-AC9C-AB71D3C5A909}" name="Smoothed index" dataDxfId="70"/>
    <tableColumn id="5" xr3:uid="{62DA3264-1A78-45C0-BFA7-820F37A33C9C}" name="Lower ci" dataDxfId="69"/>
    <tableColumn id="6" xr3:uid="{3D1F16BF-C190-47F9-BF08-A7D8CE0AA71C}" name="Upper ci" dataDxfId="68"/>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4A1400-1AE6-431C-AD8C-E91A8FD8C509}" name="Table10" displayName="Table10" ref="A7:D13" totalsRowShown="0" headerRowDxfId="67">
  <tableColumns count="4">
    <tableColumn id="1" xr3:uid="{DB9517DE-1A90-46B2-B2A8-2AD3B9F471F3}" name="Trend" dataDxfId="66"/>
    <tableColumn id="2" xr3:uid="{7A1D133B-E8E1-4EEA-85E8-5B8BEBB0077C}" name="Period" dataDxfId="65"/>
    <tableColumn id="3" xr3:uid="{2FCD1A39-8BD3-4229-8063-D71BB2C0557D}" name="No of species" dataDxfId="64"/>
    <tableColumn id="4" xr3:uid="{54B1EF3B-71F7-446D-97E9-91EEA817CCEE}" name="Percentage of species" dataDxfId="63"/>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B79F65C-5578-4928-9FEB-8003807E47BF}" name="Table11" displayName="Table11" ref="F7:I13" totalsRowShown="0" headerRowDxfId="62">
  <tableColumns count="4">
    <tableColumn id="1" xr3:uid="{303ECF07-9521-4199-BA61-84A2D3D48EA3}" name="Trend" dataDxfId="61"/>
    <tableColumn id="2" xr3:uid="{D0E3F6E4-26D6-4B6B-A7C6-45A61A32430A}" name="Period" dataDxfId="60"/>
    <tableColumn id="3" xr3:uid="{6D322359-1AE9-4C72-97FA-5AA723FC1F93}" name="No of species" dataDxfId="59"/>
    <tableColumn id="4" xr3:uid="{E1157CDA-B716-48C3-A16E-169226A53FAB}" name="Percentage of species" dataDxfId="58"/>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45254D7-ADBC-4486-BC39-96644E924424}" name="Table12" displayName="Table12" ref="K7:N13" totalsRowShown="0" headerRowDxfId="57">
  <tableColumns count="4">
    <tableColumn id="1" xr3:uid="{3C5DA741-8CEE-4BC5-89BD-964233C33AF9}" name="Trend" dataDxfId="56"/>
    <tableColumn id="2" xr3:uid="{7A78B7B8-8894-4D4A-8DF5-70718D13A279}" name="Period" dataDxfId="55"/>
    <tableColumn id="3" xr3:uid="{050AF43B-6D42-4C9F-8216-4B987D8CAD52}" name="No of species" dataDxfId="54"/>
    <tableColumn id="4" xr3:uid="{1055276E-EC39-4CF2-A23F-887DFC60AB06}" name="Percentage of species" dataDxfId="53"/>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89ED7F8-C078-4166-8E38-DA0FFC1A87A7}" name="Table13" displayName="Table13" ref="U7:X13" totalsRowShown="0" headerRowDxfId="52">
  <tableColumns count="4">
    <tableColumn id="1" xr3:uid="{1FE1CC7B-3986-4EE5-A012-3C98508749E7}" name="Trend" dataDxfId="51"/>
    <tableColumn id="2" xr3:uid="{D39B413C-DF7E-45D6-9F82-73466996F4EA}" name="Period" dataDxfId="50"/>
    <tableColumn id="3" xr3:uid="{602D2556-5794-459D-8567-2C749CBB3C3B}" name="No of species" dataDxfId="49"/>
    <tableColumn id="4" xr3:uid="{AA279634-357C-4EEF-9985-4A539F4845DF}" name="Percentage of species" dataDxfId="48"/>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267CF27-C296-4357-8091-C3820B911D19}" name="Table14" displayName="Table14" ref="AE7:AH13" totalsRowShown="0" headerRowDxfId="47">
  <tableColumns count="4">
    <tableColumn id="1" xr3:uid="{CCFFDB10-8C53-4E07-959C-08E04C88C7C2}" name="Trend" dataDxfId="46"/>
    <tableColumn id="2" xr3:uid="{7BA4C75D-27E3-4986-A1B0-8279644F3F34}" name="Period" dataDxfId="45"/>
    <tableColumn id="3" xr3:uid="{6D235A47-F7AC-48EC-80C5-E2BE6042E88B}" name="No of species" dataDxfId="44"/>
    <tableColumn id="4" xr3:uid="{1FAC6F65-7752-467B-9E4B-0D62097E4228}" name="Percentage of species" dataDxfId="43"/>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B514017-993C-40AA-B893-E9EFB4D2E2C1}" name="Table18" displayName="Table18" ref="Z7:AC13" totalsRowShown="0" headerRowDxfId="42" dataDxfId="41">
  <tableColumns count="4">
    <tableColumn id="1" xr3:uid="{C40BDD27-D7CB-496A-85AE-74EE0D9ADCFB}" name="Trend" dataDxfId="40"/>
    <tableColumn id="2" xr3:uid="{2FC2D52A-00EA-46A6-B291-CD14A783FC1E}" name="Period" dataDxfId="39"/>
    <tableColumn id="3" xr3:uid="{38476D4C-C8E5-4794-8FAF-97443E522085}" name="No of species" dataDxfId="38"/>
    <tableColumn id="4" xr3:uid="{03E8B26E-9269-44C0-98B2-7739B2F58840}" name="Percentage of species" dataDxfId="37"/>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6291366-8F18-4DD3-B219-150EA9AFCA99}" name="Table19" displayName="Table19" ref="P7:S13" totalsRowShown="0" headerRowDxfId="36" dataDxfId="35">
  <tableColumns count="4">
    <tableColumn id="1" xr3:uid="{12D3C61C-FB3A-4398-B741-80049B8797F2}" name="Trend" dataDxfId="34"/>
    <tableColumn id="2" xr3:uid="{CBDF070A-D594-4449-A94D-C70EA12BE3B0}" name="Period" dataDxfId="33"/>
    <tableColumn id="3" xr3:uid="{05863A0D-51E7-44AA-9872-F81B1754465E}" name="No of species" dataDxfId="32"/>
    <tableColumn id="4" xr3:uid="{1C003846-E95D-4097-9602-84FAEF047026}" name="Percentage of species" dataDxfId="31"/>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9509BBD-A63D-4955-A9C3-820763D824E3}" name="Table15" displayName="Table15" ref="A9:I59" totalsRowShown="0" headerRowDxfId="30" dataDxfId="29" headerRowCellStyle="Normal 5" dataCellStyle="Normal 2">
  <tableColumns count="9">
    <tableColumn id="1" xr3:uid="{C711E625-7112-4B05-8D9D-361C0DC6E5B0}" name="Common name" dataDxfId="28" dataCellStyle="Normal 2"/>
    <tableColumn id="2" xr3:uid="{193900AE-CD6E-4AC3-B0C7-E974488DCCA3}" name="Species name" dataDxfId="27" dataCellStyle="Normal 2"/>
    <tableColumn id="3" xr3:uid="{6B49E093-8C21-448B-BF13-E04E14CAE1A2}" name="Type" dataDxfId="26" dataCellStyle="Normal 2"/>
    <tableColumn id="4" xr3:uid="{BFCA3B3F-C8BF-4D49-8367-4A08B06BB1AA}" name="Long-term change (1976 to 2024)" dataDxfId="25" dataCellStyle="Normal 2"/>
    <tableColumn id="5" xr3:uid="{AA54FC13-8621-48D9-97CE-71940F9AB61B}" name="Statistical significance of long-term change" dataDxfId="24" dataCellStyle="Normal 2"/>
    <tableColumn id="6" xr3:uid="{A957AACB-9914-40A2-87E1-5B7246B95C7A}" name="Long-term trend [note 5]" dataDxfId="23" dataCellStyle="Normal 2"/>
    <tableColumn id="7" xr3:uid="{454ABC5B-5599-49D3-A85B-E46B17EFDD64}" name="Short-term change (2014 to 2024)" dataDxfId="22" dataCellStyle="Normal 2"/>
    <tableColumn id="8" xr3:uid="{307B0146-A20D-4EA0-A8B1-0A5448E50977}" name="Statistical significance of short-term change" dataDxfId="21" dataCellStyle="Normal 2"/>
    <tableColumn id="9" xr3:uid="{C54148BD-E765-4777-AF28-A6F88B16A478}" name="Short-term trend [note 5]" dataDxfId="20" dataCellStyle="Normal 2"/>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1AE8E88-CBFF-49B5-BD4A-600FCE35A47C}" name="Table16" displayName="Table16" ref="K9:S53" totalsRowShown="0" headerRowDxfId="19" dataDxfId="18" headerRowCellStyle="Normal 5" dataCellStyle="Normal 2">
  <tableColumns count="9">
    <tableColumn id="1" xr3:uid="{40C4BBE0-FBCB-4A58-B1D5-6BD57C729DAC}" name="Common name" dataDxfId="17" dataCellStyle="Normal 2"/>
    <tableColumn id="2" xr3:uid="{638F7CE5-5747-4AB5-AA39-65F218C2772F}" name="Species name" dataDxfId="16" dataCellStyle="Normal 2">
      <calculatedColumnFormula>VLOOKUP(K10,$A$10:$B$59,2,(FALSE))</calculatedColumnFormula>
    </tableColumn>
    <tableColumn id="3" xr3:uid="{4E36E693-9B82-415F-BAC6-63D0DE69823B}" name="Type" dataDxfId="15" dataCellStyle="Normal 2"/>
    <tableColumn id="4" xr3:uid="{0DAD2D9B-417E-4F06-8D04-C88C30AF0845}" name="Long-term change (1990 to 2024)" dataDxfId="14" dataCellStyle="Normal 2"/>
    <tableColumn id="5" xr3:uid="{85AD7ABF-9B16-44B6-A171-D373A3C64272}" name="Statistical significance of long-term change" dataDxfId="13" dataCellStyle="Normal 2"/>
    <tableColumn id="6" xr3:uid="{0C2C8A6F-37AF-4F61-9C77-C7A02E324A8E}" name="Long-term trend [note 5]" dataDxfId="12" dataCellStyle="Normal 2"/>
    <tableColumn id="7" xr3:uid="{86098A55-6975-405F-B282-A854AFC003B1}" name="Short-term change (2014 to 2024)" dataDxfId="11" dataCellStyle="Normal 2"/>
    <tableColumn id="8" xr3:uid="{6EEC6D3C-D154-4840-814A-72EEF4D6F940}" name="Statistical significance of short-term change" dataCellStyle="Normal 2"/>
    <tableColumn id="9" xr3:uid="{C285EEAB-69A1-4A37-BF04-BC38768DAEB5}" name="Short-term trend [note 5]" dataDxfId="10" dataCellStyle="Normal 2"/>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43C1005-CB65-42EA-8522-F9BA7F8E7E99}" name="Table17" displayName="Table17" ref="U9:AC48" totalsRowShown="0" headerRowDxfId="9" dataDxfId="8" headerRowCellStyle="Normal 5" dataCellStyle="Normal 2">
  <tableColumns count="9">
    <tableColumn id="1" xr3:uid="{E7C0DC87-088A-42B0-A59E-B4638EDBB220}" name="Common name" dataDxfId="7" dataCellStyle="Normal 2"/>
    <tableColumn id="2" xr3:uid="{FB7892B6-CD50-4A10-9A70-1890A59D0EF6}" name="Species name" dataDxfId="6" dataCellStyle="Normal 2">
      <calculatedColumnFormula>VLOOKUP(U10,$A$10:$B$59,2,(FALSE))</calculatedColumnFormula>
    </tableColumn>
    <tableColumn id="3" xr3:uid="{09CFE4E6-FD9A-4ABC-A512-97900F60F84B}" name="Type" dataDxfId="5" dataCellStyle="Normal 2"/>
    <tableColumn id="4" xr3:uid="{007D0D23-2FEE-44F0-9C45-1F45B754A1E0}" name="Long-term change (1990 to 2024)" dataDxfId="4" dataCellStyle="Normal 2"/>
    <tableColumn id="5" xr3:uid="{3E2607AE-1D35-4807-9DC8-80F3A1EDD572}" name="Statistical significance of long-term change" dataDxfId="3" dataCellStyle="Normal 2"/>
    <tableColumn id="6" xr3:uid="{556E551A-29B3-4381-A9E8-28EA7F7EDE18}" name="Long-term trend [note 5]" dataDxfId="2" dataCellStyle="Normal 2"/>
    <tableColumn id="7" xr3:uid="{3EEBA79C-1E31-417D-A347-D1E2CD5BE9DF}" name="Short-term change (2014 to 2024)" dataDxfId="1" dataCellStyle="Normal 2"/>
    <tableColumn id="8" xr3:uid="{FC754BFF-A9EB-4215-AE63-FFC3945E8B7A}" name="Statistical significance of short-term change" dataCellStyle="Normal 2"/>
    <tableColumn id="9" xr3:uid="{3B8762DF-0169-4EA6-9853-3A07CB1190DA}" name="Short-term trend [note 5]" dataDxfId="0"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jncc.gov.uk/our-work/ukbi-insects-of-the-wider-countryside-butterflies/" TargetMode="External"/><Relationship Id="rId1" Type="http://schemas.openxmlformats.org/officeDocument/2006/relationships/hyperlink" Target="mailto:biodiversity@defra.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2.xml"/><Relationship Id="rId7" Type="http://schemas.openxmlformats.org/officeDocument/2006/relationships/table" Target="../tables/table16.xml"/><Relationship Id="rId2" Type="http://schemas.openxmlformats.org/officeDocument/2006/relationships/table" Target="../tables/table11.xml"/><Relationship Id="rId1" Type="http://schemas.openxmlformats.org/officeDocument/2006/relationships/table" Target="../tables/table10.xml"/><Relationship Id="rId6" Type="http://schemas.openxmlformats.org/officeDocument/2006/relationships/table" Target="../tables/table15.xml"/><Relationship Id="rId5" Type="http://schemas.openxmlformats.org/officeDocument/2006/relationships/table" Target="../tables/table14.xml"/><Relationship Id="rId4" Type="http://schemas.openxmlformats.org/officeDocument/2006/relationships/table" Target="../tables/table1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FF21A-1DC1-4660-A873-BFCE57E68234}">
  <dimension ref="A1:A20"/>
  <sheetViews>
    <sheetView workbookViewId="0">
      <selection activeCell="A4" sqref="A4"/>
    </sheetView>
  </sheetViews>
  <sheetFormatPr defaultColWidth="11.5546875" defaultRowHeight="15" x14ac:dyDescent="0.2"/>
  <cols>
    <col min="1" max="1" width="90.6640625" customWidth="1"/>
    <col min="2" max="2" width="9.21875" customWidth="1"/>
    <col min="3" max="3" width="11.5546875" customWidth="1"/>
  </cols>
  <sheetData>
    <row r="1" spans="1:1" ht="18" customHeight="1" x14ac:dyDescent="0.2">
      <c r="A1" s="1" t="s">
        <v>0</v>
      </c>
    </row>
    <row r="2" spans="1:1" ht="15.75" x14ac:dyDescent="0.2">
      <c r="A2" s="2" t="s">
        <v>1</v>
      </c>
    </row>
    <row r="3" spans="1:1" ht="30.95" customHeight="1" x14ac:dyDescent="0.2">
      <c r="A3" s="3" t="s">
        <v>2</v>
      </c>
    </row>
    <row r="4" spans="1:1" x14ac:dyDescent="0.2">
      <c r="A4" s="4" t="s">
        <v>3</v>
      </c>
    </row>
    <row r="5" spans="1:1" ht="15.75" x14ac:dyDescent="0.2">
      <c r="A5" s="2" t="s">
        <v>4</v>
      </c>
    </row>
    <row r="6" spans="1:1" x14ac:dyDescent="0.2">
      <c r="A6" s="3" t="s">
        <v>5</v>
      </c>
    </row>
    <row r="7" spans="1:1" ht="15.75" x14ac:dyDescent="0.25">
      <c r="A7" s="5" t="s">
        <v>6</v>
      </c>
    </row>
    <row r="8" spans="1:1" ht="30.95" customHeight="1" x14ac:dyDescent="0.2">
      <c r="A8" s="3" t="s">
        <v>7</v>
      </c>
    </row>
    <row r="9" spans="1:1" ht="15.75" x14ac:dyDescent="0.2">
      <c r="A9" s="2" t="s">
        <v>8</v>
      </c>
    </row>
    <row r="10" spans="1:1" ht="30.95" customHeight="1" x14ac:dyDescent="0.2">
      <c r="A10" s="3"/>
    </row>
    <row r="11" spans="1:1" ht="15.75" x14ac:dyDescent="0.2">
      <c r="A11" s="2" t="s">
        <v>9</v>
      </c>
    </row>
    <row r="12" spans="1:1" ht="121.5" customHeight="1" x14ac:dyDescent="0.2">
      <c r="A12" s="3" t="s">
        <v>10</v>
      </c>
    </row>
    <row r="13" spans="1:1" ht="15.75" x14ac:dyDescent="0.2">
      <c r="A13" s="2" t="s">
        <v>11</v>
      </c>
    </row>
    <row r="14" spans="1:1" x14ac:dyDescent="0.2">
      <c r="A14" s="3" t="s">
        <v>12</v>
      </c>
    </row>
    <row r="15" spans="1:1" ht="15.75" x14ac:dyDescent="0.2">
      <c r="A15" s="2" t="s">
        <v>13</v>
      </c>
    </row>
    <row r="16" spans="1:1" x14ac:dyDescent="0.2">
      <c r="A16" s="6" t="s">
        <v>14</v>
      </c>
    </row>
    <row r="17" spans="1:1" x14ac:dyDescent="0.2">
      <c r="A17" s="6" t="s">
        <v>15</v>
      </c>
    </row>
    <row r="18" spans="1:1" x14ac:dyDescent="0.2">
      <c r="A18" s="6" t="s">
        <v>16</v>
      </c>
    </row>
    <row r="19" spans="1:1" x14ac:dyDescent="0.2">
      <c r="A19" s="4" t="s">
        <v>17</v>
      </c>
    </row>
    <row r="20" spans="1:1" x14ac:dyDescent="0.2">
      <c r="A20" s="3" t="s">
        <v>18</v>
      </c>
    </row>
  </sheetData>
  <hyperlinks>
    <hyperlink ref="A19" r:id="rId1" xr:uid="{4FC9752F-37FF-47C5-A66F-BCFA79B3F4D8}"/>
    <hyperlink ref="A4" r:id="rId2" xr:uid="{217ECAD3-E7C3-46E6-8450-AD62F59F68CE}"/>
  </hyperlinks>
  <pageMargins left="0.70000000000000007" right="0.70000000000000007" top="0.75" bottom="0.75" header="0.30000000000000004" footer="0.30000000000000004"/>
  <pageSetup paperSize="0" fitToWidth="0" fitToHeight="0" orientation="portrait" horizontalDpi="0" verticalDpi="0" copies="0"/>
  <headerFooter>
    <oddHeader>&amp;C&amp;"Aptos"&amp;10&amp;K000000 CLASSIFICATION: CONFIDENTIAL - COMMERCIAL IN CONFIDENCE&amp;1#_x000D_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52C2-D68D-450B-BF65-2FB83D11E72A}">
  <dimension ref="A1:C8"/>
  <sheetViews>
    <sheetView workbookViewId="0">
      <selection activeCell="B4" sqref="B4"/>
    </sheetView>
  </sheetViews>
  <sheetFormatPr defaultColWidth="11.5546875" defaultRowHeight="15" x14ac:dyDescent="0.2"/>
  <cols>
    <col min="1" max="1" width="28" customWidth="1"/>
    <col min="2" max="2" width="52" customWidth="1"/>
    <col min="3" max="3" width="56.33203125" customWidth="1"/>
    <col min="4" max="4" width="9.21875" customWidth="1"/>
    <col min="5" max="5" width="11.5546875" customWidth="1"/>
  </cols>
  <sheetData>
    <row r="1" spans="1:3" ht="34.5" customHeight="1" x14ac:dyDescent="0.2">
      <c r="A1" s="7" t="s">
        <v>19</v>
      </c>
      <c r="B1" s="8"/>
      <c r="C1" s="9"/>
    </row>
    <row r="2" spans="1:3" ht="15.6" customHeight="1" x14ac:dyDescent="0.2">
      <c r="A2" s="10" t="s">
        <v>20</v>
      </c>
      <c r="B2" s="8"/>
      <c r="C2" s="9"/>
    </row>
    <row r="3" spans="1:3" ht="25.5" customHeight="1" x14ac:dyDescent="0.2">
      <c r="A3" s="11" t="s">
        <v>21</v>
      </c>
      <c r="B3" s="12" t="s">
        <v>22</v>
      </c>
      <c r="C3" s="12" t="s">
        <v>23</v>
      </c>
    </row>
    <row r="4" spans="1:3" ht="34.5" customHeight="1" x14ac:dyDescent="0.2">
      <c r="A4" s="13">
        <v>1</v>
      </c>
      <c r="B4" s="15" t="s">
        <v>24</v>
      </c>
      <c r="C4" s="14" t="s">
        <v>25</v>
      </c>
    </row>
    <row r="5" spans="1:3" ht="34.5" customHeight="1" x14ac:dyDescent="0.2">
      <c r="A5" s="13">
        <v>2</v>
      </c>
      <c r="B5" s="15" t="s">
        <v>26</v>
      </c>
      <c r="C5" s="14" t="s">
        <v>25</v>
      </c>
    </row>
    <row r="6" spans="1:3" ht="34.5" customHeight="1" x14ac:dyDescent="0.2">
      <c r="A6" s="13">
        <v>3</v>
      </c>
      <c r="B6" s="15" t="s">
        <v>27</v>
      </c>
      <c r="C6" s="14" t="s">
        <v>25</v>
      </c>
    </row>
    <row r="7" spans="1:3" ht="34.5" customHeight="1" x14ac:dyDescent="0.2">
      <c r="A7" s="16"/>
      <c r="B7" s="3"/>
      <c r="C7" s="3"/>
    </row>
    <row r="8" spans="1:3" ht="34.5" customHeight="1" x14ac:dyDescent="0.2">
      <c r="A8" s="17"/>
      <c r="B8" s="18"/>
      <c r="C8" s="8"/>
    </row>
  </sheetData>
  <hyperlinks>
    <hyperlink ref="B4" location="'1'!A1" display="Trends in the abundance of butterflies in the UK: 1976 to 2024" xr:uid="{293FD16E-B925-4E16-9C88-661D702D7E60}"/>
    <hyperlink ref="B5" location="'2'!A1" display="Summary of long-term and short-term changes in the abundance of  butterflies in the UK: 1976 to 2024" xr:uid="{DE270E54-10D5-4BD3-956F-44F6E435EE03}"/>
    <hyperlink ref="B6" location="'3'!A1" display="Long-term and short-term changes in individual species abundance trends for butterflies in the UK: 1976 to 2024" xr:uid="{CE0BED88-0EFE-455B-972E-5DE85E775C8D}"/>
  </hyperlinks>
  <pageMargins left="0.70000000000000007" right="0.70000000000000007" top="0.75" bottom="0.75" header="0.30000000000000004" footer="0.30000000000000004"/>
  <pageSetup paperSize="0" fitToWidth="0" fitToHeight="0" orientation="portrait" horizontalDpi="0" verticalDpi="0" copies="0"/>
  <headerFooter>
    <oddHeader>&amp;C&amp;"Aptos"&amp;10&amp;K000000 CLASSIFICATION: CONFIDENTIAL - COMMERCIAL IN CONFIDENCE&amp;1#_x000D_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6D402-36A9-442F-ADEB-3DE706F3EC56}">
  <dimension ref="A1:C10"/>
  <sheetViews>
    <sheetView topLeftCell="A4" workbookViewId="0"/>
  </sheetViews>
  <sheetFormatPr defaultColWidth="11.5546875" defaultRowHeight="15" x14ac:dyDescent="0.2"/>
  <cols>
    <col min="1" max="1" width="16.88671875" customWidth="1"/>
    <col min="2" max="2" width="96.109375" customWidth="1"/>
    <col min="3" max="3" width="9.21875" customWidth="1"/>
    <col min="4" max="4" width="11.5546875" customWidth="1"/>
  </cols>
  <sheetData>
    <row r="1" spans="1:3" ht="18" customHeight="1" x14ac:dyDescent="0.2">
      <c r="A1" s="19" t="s">
        <v>28</v>
      </c>
      <c r="B1" s="20"/>
      <c r="C1" s="21"/>
    </row>
    <row r="2" spans="1:3" x14ac:dyDescent="0.2">
      <c r="A2" s="10" t="s">
        <v>20</v>
      </c>
      <c r="B2" s="20"/>
      <c r="C2" s="21"/>
    </row>
    <row r="3" spans="1:3" ht="15.75" x14ac:dyDescent="0.25">
      <c r="A3" s="22" t="s">
        <v>29</v>
      </c>
      <c r="B3" s="23" t="s">
        <v>30</v>
      </c>
      <c r="C3" s="24"/>
    </row>
    <row r="4" spans="1:3" ht="62.1" customHeight="1" x14ac:dyDescent="0.2">
      <c r="A4" s="14" t="s">
        <v>31</v>
      </c>
      <c r="B4" s="3" t="s">
        <v>32</v>
      </c>
      <c r="C4" s="25"/>
    </row>
    <row r="5" spans="1:3" ht="62.1" customHeight="1" x14ac:dyDescent="0.2">
      <c r="A5" s="14" t="s">
        <v>33</v>
      </c>
      <c r="B5" s="3" t="s">
        <v>34</v>
      </c>
      <c r="C5" s="20"/>
    </row>
    <row r="6" spans="1:3" ht="62.1" customHeight="1" x14ac:dyDescent="0.2">
      <c r="A6" s="14" t="s">
        <v>35</v>
      </c>
      <c r="B6" s="3" t="s">
        <v>36</v>
      </c>
      <c r="C6" s="20"/>
    </row>
    <row r="7" spans="1:3" ht="30.95" customHeight="1" x14ac:dyDescent="0.2">
      <c r="A7" s="14" t="s">
        <v>37</v>
      </c>
      <c r="B7" s="3" t="s">
        <v>38</v>
      </c>
      <c r="C7" s="20"/>
    </row>
    <row r="8" spans="1:3" ht="30.95" customHeight="1" x14ac:dyDescent="0.2">
      <c r="A8" s="14" t="s">
        <v>39</v>
      </c>
      <c r="B8" s="3" t="s">
        <v>40</v>
      </c>
      <c r="C8" s="20"/>
    </row>
    <row r="9" spans="1:3" ht="77.45" customHeight="1" x14ac:dyDescent="0.2">
      <c r="A9" s="26"/>
      <c r="B9" s="27"/>
      <c r="C9" s="20"/>
    </row>
    <row r="10" spans="1:3" x14ac:dyDescent="0.2">
      <c r="A10" s="20"/>
      <c r="B10" s="20"/>
      <c r="C10" s="20"/>
    </row>
  </sheetData>
  <pageMargins left="0.70000000000000007" right="0.70000000000000007" top="0.75" bottom="0.75" header="0.30000000000000004" footer="0.30000000000000004"/>
  <pageSetup paperSize="0" fitToWidth="0" fitToHeight="0" orientation="portrait" horizontalDpi="0" verticalDpi="0" copies="0"/>
  <headerFooter>
    <oddHeader>&amp;C&amp;"Aptos"&amp;10&amp;K000000 CLASSIFICATION: CONFIDENTIAL - COMMERCIAL IN CONFIDENCE&amp;1#_x000D_</oddHead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BABE8-96EA-4B8D-8587-941B6F7A279F}">
  <dimension ref="A1:AR77"/>
  <sheetViews>
    <sheetView tabSelected="1" topLeftCell="Y15" workbookViewId="0">
      <selection activeCell="D7" sqref="D7"/>
    </sheetView>
  </sheetViews>
  <sheetFormatPr defaultColWidth="11.5546875" defaultRowHeight="15" x14ac:dyDescent="0.2"/>
  <cols>
    <col min="1" max="1" width="34.88671875" customWidth="1"/>
    <col min="2" max="2" width="19.109375" customWidth="1"/>
    <col min="3" max="3" width="16.88671875" customWidth="1"/>
    <col min="4" max="6" width="11.5546875" customWidth="1"/>
    <col min="7" max="7" width="35.88671875" customWidth="1"/>
    <col min="8" max="8" width="19.109375" customWidth="1"/>
    <col min="9" max="9" width="16.88671875" customWidth="1"/>
    <col min="10" max="12" width="11.5546875" customWidth="1"/>
    <col min="13" max="13" width="34.88671875" customWidth="1"/>
    <col min="14" max="14" width="19.109375" customWidth="1"/>
    <col min="15" max="15" width="16.88671875" customWidth="1"/>
    <col min="16" max="18" width="11.5546875" customWidth="1"/>
    <col min="19" max="19" width="31.88671875" customWidth="1"/>
    <col min="20" max="20" width="19.109375" customWidth="1"/>
    <col min="21" max="21" width="16.88671875" customWidth="1"/>
    <col min="22" max="24" width="11.5546875" customWidth="1"/>
    <col min="25" max="25" width="31.88671875" customWidth="1"/>
    <col min="26" max="26" width="13.6640625" customWidth="1"/>
    <col min="27" max="27" width="19.109375" customWidth="1"/>
    <col min="28" max="28" width="16.88671875" customWidth="1"/>
    <col min="29" max="31" width="11.5546875" customWidth="1"/>
    <col min="32" max="32" width="31.88671875" customWidth="1"/>
    <col min="33" max="33" width="19.109375" customWidth="1"/>
    <col min="34" max="34" width="16.88671875" customWidth="1"/>
    <col min="35" max="37" width="11.5546875" customWidth="1"/>
    <col min="38" max="38" width="31.6640625" customWidth="1"/>
    <col min="39" max="39" width="13.6640625" customWidth="1"/>
    <col min="40" max="40" width="19.109375" customWidth="1"/>
    <col min="41" max="41" width="16.88671875" customWidth="1"/>
  </cols>
  <sheetData>
    <row r="1" spans="1:44" ht="18" x14ac:dyDescent="0.2">
      <c r="A1" s="28" t="s">
        <v>24</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row>
    <row r="2" spans="1:44" x14ac:dyDescent="0.2">
      <c r="A2" s="6" t="s">
        <v>41</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row>
    <row r="3" spans="1:44" x14ac:dyDescent="0.2">
      <c r="A3" s="6" t="s">
        <v>42</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row>
    <row r="4" spans="1:44" x14ac:dyDescent="0.2">
      <c r="A4" s="6" t="s">
        <v>43</v>
      </c>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row>
    <row r="5" spans="1:44" x14ac:dyDescent="0.2">
      <c r="A5" s="6" t="s">
        <v>44</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row>
    <row r="6" spans="1:44" s="18" customFormat="1" ht="72.599999999999994" customHeight="1" x14ac:dyDescent="0.2">
      <c r="A6" s="29" t="s">
        <v>45</v>
      </c>
      <c r="B6" s="30"/>
      <c r="C6" s="30"/>
      <c r="D6" s="30"/>
      <c r="E6" s="30"/>
      <c r="F6" s="30"/>
      <c r="G6" s="29" t="s">
        <v>46</v>
      </c>
      <c r="H6" s="30"/>
      <c r="I6" s="30"/>
      <c r="J6" s="30"/>
      <c r="K6" s="30"/>
      <c r="L6" s="30"/>
      <c r="M6" s="29" t="s">
        <v>47</v>
      </c>
      <c r="N6" s="30"/>
      <c r="O6" s="30"/>
      <c r="P6" s="30"/>
      <c r="Q6" s="30"/>
      <c r="R6" s="30"/>
      <c r="S6" s="29" t="s">
        <v>48</v>
      </c>
      <c r="T6" s="30"/>
      <c r="U6" s="30"/>
      <c r="V6" s="30"/>
      <c r="W6" s="30"/>
      <c r="X6" s="30"/>
      <c r="Y6" s="29" t="s">
        <v>49</v>
      </c>
      <c r="Z6" s="30"/>
      <c r="AA6" s="30"/>
      <c r="AB6" s="30"/>
      <c r="AC6" s="30"/>
      <c r="AF6" s="29" t="s">
        <v>50</v>
      </c>
      <c r="AL6" s="29" t="s">
        <v>51</v>
      </c>
    </row>
    <row r="7" spans="1:44" ht="15.75" x14ac:dyDescent="0.25">
      <c r="A7" s="31" t="s">
        <v>52</v>
      </c>
      <c r="B7" s="32" t="s">
        <v>53</v>
      </c>
      <c r="C7" s="32" t="s">
        <v>54</v>
      </c>
      <c r="D7" s="32" t="s">
        <v>55</v>
      </c>
      <c r="E7" s="32" t="s">
        <v>56</v>
      </c>
      <c r="G7" s="31" t="s">
        <v>52</v>
      </c>
      <c r="H7" s="32" t="s">
        <v>53</v>
      </c>
      <c r="I7" s="32" t="s">
        <v>54</v>
      </c>
      <c r="J7" s="32" t="s">
        <v>55</v>
      </c>
      <c r="K7" s="32" t="s">
        <v>56</v>
      </c>
      <c r="M7" s="31" t="s">
        <v>52</v>
      </c>
      <c r="N7" s="32" t="s">
        <v>53</v>
      </c>
      <c r="O7" s="32" t="s">
        <v>54</v>
      </c>
      <c r="P7" s="32" t="s">
        <v>55</v>
      </c>
      <c r="Q7" s="32" t="s">
        <v>56</v>
      </c>
      <c r="S7" s="31" t="s">
        <v>52</v>
      </c>
      <c r="T7" s="32" t="s">
        <v>53</v>
      </c>
      <c r="U7" s="32" t="s">
        <v>54</v>
      </c>
      <c r="V7" s="32" t="s">
        <v>55</v>
      </c>
      <c r="W7" s="32" t="s">
        <v>56</v>
      </c>
      <c r="Y7" s="31" t="s">
        <v>52</v>
      </c>
      <c r="Z7" s="32" t="s">
        <v>57</v>
      </c>
      <c r="AA7" s="32" t="s">
        <v>53</v>
      </c>
      <c r="AB7" s="32" t="s">
        <v>54</v>
      </c>
      <c r="AC7" s="32" t="s">
        <v>55</v>
      </c>
      <c r="AD7" s="32" t="s">
        <v>56</v>
      </c>
      <c r="AF7" s="31" t="s">
        <v>52</v>
      </c>
      <c r="AG7" s="32" t="s">
        <v>53</v>
      </c>
      <c r="AH7" s="32" t="s">
        <v>54</v>
      </c>
      <c r="AI7" s="32" t="s">
        <v>55</v>
      </c>
      <c r="AJ7" s="32" t="s">
        <v>56</v>
      </c>
      <c r="AL7" s="31" t="s">
        <v>52</v>
      </c>
      <c r="AM7" s="32" t="s">
        <v>57</v>
      </c>
      <c r="AN7" s="32" t="s">
        <v>53</v>
      </c>
      <c r="AO7" s="32" t="s">
        <v>54</v>
      </c>
      <c r="AP7" s="32" t="s">
        <v>55</v>
      </c>
      <c r="AQ7" s="32" t="s">
        <v>56</v>
      </c>
    </row>
    <row r="8" spans="1:44" ht="13.5" customHeight="1" x14ac:dyDescent="0.2">
      <c r="A8" s="33">
        <v>1976</v>
      </c>
      <c r="B8" s="34">
        <v>150.70681500000001</v>
      </c>
      <c r="C8" s="34">
        <v>100</v>
      </c>
      <c r="D8" s="34">
        <v>92.116164810000001</v>
      </c>
      <c r="E8" s="34">
        <v>107.88383519999999</v>
      </c>
      <c r="F8" s="35"/>
      <c r="G8" s="33">
        <v>1976</v>
      </c>
      <c r="H8" s="34">
        <v>176.2673623</v>
      </c>
      <c r="I8" s="34">
        <v>100</v>
      </c>
      <c r="J8" s="34">
        <v>88.194810689999997</v>
      </c>
      <c r="K8" s="34">
        <v>111.8051893</v>
      </c>
      <c r="L8" s="35"/>
      <c r="M8" s="33">
        <v>1976</v>
      </c>
      <c r="N8" s="34">
        <v>135.33081619999999</v>
      </c>
      <c r="O8" s="34">
        <v>100</v>
      </c>
      <c r="P8" s="34">
        <v>84.085096019999995</v>
      </c>
      <c r="Q8" s="34">
        <v>115.91490400000001</v>
      </c>
      <c r="R8" s="35"/>
      <c r="S8" s="33">
        <v>1990</v>
      </c>
      <c r="T8" s="34">
        <v>97.620976799999994</v>
      </c>
      <c r="U8" s="34">
        <v>100</v>
      </c>
      <c r="V8" s="34">
        <v>91.730409910000006</v>
      </c>
      <c r="W8" s="34">
        <v>108.2695901</v>
      </c>
      <c r="X8" s="35"/>
      <c r="Y8" s="36">
        <v>1990</v>
      </c>
      <c r="Z8" s="35" t="s">
        <v>58</v>
      </c>
      <c r="AA8" s="34">
        <v>103.8885484</v>
      </c>
      <c r="AB8" s="34">
        <v>100</v>
      </c>
      <c r="AC8" s="34">
        <v>90.525489059999998</v>
      </c>
      <c r="AD8" s="34">
        <v>109.4745109</v>
      </c>
      <c r="AE8" s="35"/>
      <c r="AF8" s="36">
        <v>1990</v>
      </c>
      <c r="AG8" s="34">
        <v>111.09506399999999</v>
      </c>
      <c r="AH8" s="34">
        <v>100</v>
      </c>
      <c r="AI8" s="34">
        <v>88.866630380000004</v>
      </c>
      <c r="AJ8" s="34">
        <v>111.13336959999999</v>
      </c>
      <c r="AK8" s="35"/>
      <c r="AL8" s="36">
        <v>1990</v>
      </c>
      <c r="AM8" s="35" t="s">
        <v>58</v>
      </c>
      <c r="AN8" s="34">
        <v>124.30389820000001</v>
      </c>
      <c r="AO8" s="34">
        <v>100</v>
      </c>
      <c r="AP8" s="34">
        <v>90.376392199999998</v>
      </c>
      <c r="AQ8" s="34">
        <v>109.6236078</v>
      </c>
      <c r="AR8" s="35"/>
    </row>
    <row r="9" spans="1:44" ht="13.5" customHeight="1" x14ac:dyDescent="0.2">
      <c r="A9" s="33">
        <v>1977</v>
      </c>
      <c r="B9" s="34">
        <v>59.174267630000003</v>
      </c>
      <c r="C9" s="34">
        <v>99.623232959999996</v>
      </c>
      <c r="D9" s="34">
        <v>91.981613769999996</v>
      </c>
      <c r="E9" s="34">
        <v>107.26485220000001</v>
      </c>
      <c r="F9" s="35"/>
      <c r="G9" s="33">
        <v>1977</v>
      </c>
      <c r="H9" s="34">
        <v>46.684413360000001</v>
      </c>
      <c r="I9" s="34">
        <v>93.146724950000007</v>
      </c>
      <c r="J9" s="34">
        <v>83.452443070000001</v>
      </c>
      <c r="K9" s="34">
        <v>102.8410068</v>
      </c>
      <c r="L9" s="35"/>
      <c r="M9" s="33">
        <v>1977</v>
      </c>
      <c r="N9" s="34">
        <v>64.031946050000002</v>
      </c>
      <c r="O9" s="34">
        <v>100.90265650000001</v>
      </c>
      <c r="P9" s="34">
        <v>86.512930859999997</v>
      </c>
      <c r="Q9" s="34">
        <v>115.29238220000001</v>
      </c>
      <c r="R9" s="35"/>
      <c r="S9" s="33">
        <v>1991</v>
      </c>
      <c r="T9" s="34">
        <v>92.5855368</v>
      </c>
      <c r="U9" s="34">
        <v>99.04429064</v>
      </c>
      <c r="V9" s="34">
        <v>91.132500949999994</v>
      </c>
      <c r="W9" s="34">
        <v>106.9560803</v>
      </c>
      <c r="X9" s="35"/>
      <c r="Y9" s="36">
        <v>1991</v>
      </c>
      <c r="Z9" s="35" t="s">
        <v>58</v>
      </c>
      <c r="AA9" s="34">
        <v>74.227986130000005</v>
      </c>
      <c r="AB9" s="34">
        <v>98.684770979999996</v>
      </c>
      <c r="AC9" s="34">
        <v>89.872030089999996</v>
      </c>
      <c r="AD9" s="34">
        <v>107.49751190000001</v>
      </c>
      <c r="AE9" s="35"/>
      <c r="AF9" s="36">
        <v>1991</v>
      </c>
      <c r="AG9" s="34">
        <v>98.558653980000003</v>
      </c>
      <c r="AH9" s="34">
        <v>96.634930510000004</v>
      </c>
      <c r="AI9" s="34">
        <v>87.041027409999998</v>
      </c>
      <c r="AJ9" s="34">
        <v>106.2288336</v>
      </c>
      <c r="AK9" s="35"/>
      <c r="AL9" s="36">
        <v>1991</v>
      </c>
      <c r="AM9" s="35" t="s">
        <v>58</v>
      </c>
      <c r="AN9" s="34">
        <v>103.15368530000001</v>
      </c>
      <c r="AO9" s="34">
        <v>98.396479709999994</v>
      </c>
      <c r="AP9" s="34">
        <v>89.189488859999997</v>
      </c>
      <c r="AQ9" s="34">
        <v>107.60347059999999</v>
      </c>
      <c r="AR9" s="35"/>
    </row>
    <row r="10" spans="1:44" ht="13.5" customHeight="1" x14ac:dyDescent="0.2">
      <c r="A10" s="33">
        <v>1978</v>
      </c>
      <c r="B10" s="34">
        <v>84.553753510000007</v>
      </c>
      <c r="C10" s="34">
        <v>99.244958859999997</v>
      </c>
      <c r="D10" s="34">
        <v>91.842601799999997</v>
      </c>
      <c r="E10" s="34">
        <v>106.6473159</v>
      </c>
      <c r="F10" s="35"/>
      <c r="G10" s="33">
        <v>1978</v>
      </c>
      <c r="H10" s="34">
        <v>76.238072169999995</v>
      </c>
      <c r="I10" s="34">
        <v>86.890996259999994</v>
      </c>
      <c r="J10" s="34">
        <v>78.654656979999999</v>
      </c>
      <c r="K10" s="34">
        <v>95.127335540000004</v>
      </c>
      <c r="L10" s="35"/>
      <c r="M10" s="33">
        <v>1978</v>
      </c>
      <c r="N10" s="34">
        <v>85.191585520000004</v>
      </c>
      <c r="O10" s="34">
        <v>101.82155280000001</v>
      </c>
      <c r="P10" s="34">
        <v>88.760721579999995</v>
      </c>
      <c r="Q10" s="34">
        <v>114.882384</v>
      </c>
      <c r="R10" s="35"/>
      <c r="S10" s="33">
        <v>1992</v>
      </c>
      <c r="T10" s="34">
        <v>110.0381167</v>
      </c>
      <c r="U10" s="34">
        <v>98.088581270000006</v>
      </c>
      <c r="V10" s="34">
        <v>90.526938509999994</v>
      </c>
      <c r="W10" s="34">
        <v>105.65022399999999</v>
      </c>
      <c r="X10" s="35"/>
      <c r="Y10" s="36">
        <v>1992</v>
      </c>
      <c r="Z10" s="35" t="s">
        <v>58</v>
      </c>
      <c r="AA10" s="34">
        <v>102.93609240000001</v>
      </c>
      <c r="AB10" s="34">
        <v>97.369541960000006</v>
      </c>
      <c r="AC10" s="34">
        <v>89.157484650000001</v>
      </c>
      <c r="AD10" s="34">
        <v>105.58159929999999</v>
      </c>
      <c r="AE10" s="35"/>
      <c r="AF10" s="36">
        <v>1992</v>
      </c>
      <c r="AG10" s="34">
        <v>117.1371798</v>
      </c>
      <c r="AH10" s="34">
        <v>93.295412880000001</v>
      </c>
      <c r="AI10" s="34">
        <v>84.918711740000006</v>
      </c>
      <c r="AJ10" s="34">
        <v>101.67211399999999</v>
      </c>
      <c r="AK10" s="35"/>
      <c r="AL10" s="36">
        <v>1992</v>
      </c>
      <c r="AM10" s="35" t="s">
        <v>58</v>
      </c>
      <c r="AN10" s="34">
        <v>120.63817210000001</v>
      </c>
      <c r="AO10" s="34">
        <v>96.792959429999996</v>
      </c>
      <c r="AP10" s="34">
        <v>87.992840099999995</v>
      </c>
      <c r="AQ10" s="34">
        <v>105.5930788</v>
      </c>
      <c r="AR10" s="35"/>
    </row>
    <row r="11" spans="1:44" ht="13.5" customHeight="1" x14ac:dyDescent="0.2">
      <c r="A11" s="33">
        <v>1979</v>
      </c>
      <c r="B11" s="34">
        <v>91.439299750000004</v>
      </c>
      <c r="C11" s="34">
        <v>98.868191820000007</v>
      </c>
      <c r="D11" s="34">
        <v>91.702143050000004</v>
      </c>
      <c r="E11" s="34">
        <v>106.0342406</v>
      </c>
      <c r="F11" s="35"/>
      <c r="G11" s="33">
        <v>1979</v>
      </c>
      <c r="H11" s="34">
        <v>71.807847039999999</v>
      </c>
      <c r="I11" s="34">
        <v>81.47077487</v>
      </c>
      <c r="J11" s="34">
        <v>74.098145669999994</v>
      </c>
      <c r="K11" s="34">
        <v>88.843404079999999</v>
      </c>
      <c r="L11" s="35"/>
      <c r="M11" s="33">
        <v>1979</v>
      </c>
      <c r="N11" s="34">
        <v>96.693370970000004</v>
      </c>
      <c r="O11" s="34">
        <v>102.7566887</v>
      </c>
      <c r="P11" s="34">
        <v>90.825815710000001</v>
      </c>
      <c r="Q11" s="34">
        <v>114.6875617</v>
      </c>
      <c r="R11" s="35"/>
      <c r="S11" s="33">
        <v>1993</v>
      </c>
      <c r="T11" s="34">
        <v>80.453167800000003</v>
      </c>
      <c r="U11" s="34">
        <v>97.132871910000006</v>
      </c>
      <c r="V11" s="34">
        <v>89.913722579999998</v>
      </c>
      <c r="W11" s="34">
        <v>104.3520212</v>
      </c>
      <c r="X11" s="35"/>
      <c r="Y11" s="36">
        <v>1993</v>
      </c>
      <c r="Z11" s="35" t="s">
        <v>58</v>
      </c>
      <c r="AA11" s="34">
        <v>87.814792190000006</v>
      </c>
      <c r="AB11" s="34">
        <v>96.053274049999999</v>
      </c>
      <c r="AC11" s="34">
        <v>88.384886289999997</v>
      </c>
      <c r="AD11" s="34">
        <v>103.72166180000001</v>
      </c>
      <c r="AE11" s="35"/>
      <c r="AF11" s="36">
        <v>1993</v>
      </c>
      <c r="AG11" s="34">
        <v>62.329660830000002</v>
      </c>
      <c r="AH11" s="34">
        <v>90.010331840000006</v>
      </c>
      <c r="AI11" s="34">
        <v>82.528568100000001</v>
      </c>
      <c r="AJ11" s="34">
        <v>97.492095590000005</v>
      </c>
      <c r="AK11" s="35"/>
      <c r="AL11" s="36">
        <v>1993</v>
      </c>
      <c r="AM11" s="35" t="s">
        <v>58</v>
      </c>
      <c r="AN11" s="34">
        <v>68.783575630000001</v>
      </c>
      <c r="AO11" s="34">
        <v>95.190682179999996</v>
      </c>
      <c r="AP11" s="34">
        <v>86.7901253</v>
      </c>
      <c r="AQ11" s="34">
        <v>103.5912391</v>
      </c>
      <c r="AR11" s="35"/>
    </row>
    <row r="12" spans="1:44" ht="13.5" customHeight="1" x14ac:dyDescent="0.2">
      <c r="A12" s="33">
        <v>1980</v>
      </c>
      <c r="B12" s="34">
        <v>85.927641480000005</v>
      </c>
      <c r="C12" s="34">
        <v>98.48991771</v>
      </c>
      <c r="D12" s="34">
        <v>91.557223379999996</v>
      </c>
      <c r="E12" s="34">
        <v>105.42261209999999</v>
      </c>
      <c r="F12" s="35"/>
      <c r="G12" s="33">
        <v>1980</v>
      </c>
      <c r="H12" s="34">
        <v>72.472276859999994</v>
      </c>
      <c r="I12" s="34">
        <v>77.037650709999994</v>
      </c>
      <c r="J12" s="34">
        <v>70.093421699999993</v>
      </c>
      <c r="K12" s="34">
        <v>83.981879719999995</v>
      </c>
      <c r="L12" s="35"/>
      <c r="M12" s="33">
        <v>1980</v>
      </c>
      <c r="N12" s="34">
        <v>85.584812009999993</v>
      </c>
      <c r="O12" s="34">
        <v>103.6985912</v>
      </c>
      <c r="P12" s="34">
        <v>92.696087590000005</v>
      </c>
      <c r="Q12" s="34">
        <v>114.70109480000001</v>
      </c>
      <c r="R12" s="35"/>
      <c r="S12" s="33">
        <v>1994</v>
      </c>
      <c r="T12" s="34">
        <v>92.160144900000006</v>
      </c>
      <c r="U12" s="34">
        <v>96.177162550000006</v>
      </c>
      <c r="V12" s="34">
        <v>89.292853170000001</v>
      </c>
      <c r="W12" s="34">
        <v>103.0614719</v>
      </c>
      <c r="X12" s="35"/>
      <c r="Y12" s="36">
        <v>1994</v>
      </c>
      <c r="Z12" s="35" t="s">
        <v>58</v>
      </c>
      <c r="AA12" s="34">
        <v>99.21279346</v>
      </c>
      <c r="AB12" s="34">
        <v>94.732850600000006</v>
      </c>
      <c r="AC12" s="34">
        <v>87.545009710000002</v>
      </c>
      <c r="AD12" s="34">
        <v>101.9206915</v>
      </c>
      <c r="AE12" s="35"/>
      <c r="AF12" s="36">
        <v>1994</v>
      </c>
      <c r="AG12" s="34">
        <v>67.716540640000005</v>
      </c>
      <c r="AH12" s="34">
        <v>86.859675820000007</v>
      </c>
      <c r="AI12" s="34">
        <v>79.983246859999994</v>
      </c>
      <c r="AJ12" s="34">
        <v>93.736104780000005</v>
      </c>
      <c r="AK12" s="35"/>
      <c r="AL12" s="36">
        <v>1994</v>
      </c>
      <c r="AM12" s="35" t="s">
        <v>58</v>
      </c>
      <c r="AN12" s="34">
        <v>75.246230449999999</v>
      </c>
      <c r="AO12" s="34">
        <v>93.587161890000004</v>
      </c>
      <c r="AP12" s="34">
        <v>85.576422039999997</v>
      </c>
      <c r="AQ12" s="34">
        <v>101.5979018</v>
      </c>
      <c r="AR12" s="35"/>
    </row>
    <row r="13" spans="1:44" ht="13.5" customHeight="1" x14ac:dyDescent="0.2">
      <c r="A13" s="33">
        <v>1981</v>
      </c>
      <c r="B13" s="34">
        <v>59.174267630000003</v>
      </c>
      <c r="C13" s="34">
        <v>98.113150680000004</v>
      </c>
      <c r="D13" s="34">
        <v>91.407903070000003</v>
      </c>
      <c r="E13" s="34">
        <v>104.8183983</v>
      </c>
      <c r="F13" s="35"/>
      <c r="G13" s="33">
        <v>1981</v>
      </c>
      <c r="H13" s="34">
        <v>37.685293829999999</v>
      </c>
      <c r="I13" s="34">
        <v>73.672706759999997</v>
      </c>
      <c r="J13" s="34">
        <v>66.897764929999994</v>
      </c>
      <c r="K13" s="34">
        <v>80.44764859</v>
      </c>
      <c r="L13" s="35"/>
      <c r="M13" s="33">
        <v>1981</v>
      </c>
      <c r="N13" s="34">
        <v>75.404402169999997</v>
      </c>
      <c r="O13" s="34">
        <v>104.6391404</v>
      </c>
      <c r="P13" s="34">
        <v>94.376679789999997</v>
      </c>
      <c r="Q13" s="34">
        <v>114.901601</v>
      </c>
      <c r="R13" s="35"/>
      <c r="S13" s="33">
        <v>1995</v>
      </c>
      <c r="T13" s="34">
        <v>105.81400410000001</v>
      </c>
      <c r="U13" s="34">
        <v>95.221453190000005</v>
      </c>
      <c r="V13" s="34">
        <v>88.662416899999997</v>
      </c>
      <c r="W13" s="34">
        <v>101.7804895</v>
      </c>
      <c r="X13" s="35"/>
      <c r="Y13" s="36">
        <v>1995</v>
      </c>
      <c r="Z13" s="35" t="s">
        <v>58</v>
      </c>
      <c r="AA13" s="34">
        <v>111.83240840000001</v>
      </c>
      <c r="AB13" s="34">
        <v>93.405154949999996</v>
      </c>
      <c r="AC13" s="34">
        <v>86.638810680000006</v>
      </c>
      <c r="AD13" s="34">
        <v>100.1714992</v>
      </c>
      <c r="AE13" s="35"/>
      <c r="AF13" s="36">
        <v>1995</v>
      </c>
      <c r="AG13" s="34">
        <v>91.768738909999996</v>
      </c>
      <c r="AH13" s="34">
        <v>83.864552900000007</v>
      </c>
      <c r="AI13" s="34">
        <v>77.360470149999998</v>
      </c>
      <c r="AJ13" s="34">
        <v>90.368635639999994</v>
      </c>
      <c r="AK13" s="35"/>
      <c r="AL13" s="36">
        <v>1995</v>
      </c>
      <c r="AM13" s="35" t="s">
        <v>58</v>
      </c>
      <c r="AN13" s="34">
        <v>94.729391660000005</v>
      </c>
      <c r="AO13" s="34">
        <v>91.983641610000006</v>
      </c>
      <c r="AP13" s="34">
        <v>84.350536989999995</v>
      </c>
      <c r="AQ13" s="34">
        <v>99.616746219999996</v>
      </c>
      <c r="AR13" s="35"/>
    </row>
    <row r="14" spans="1:44" ht="13.5" customHeight="1" x14ac:dyDescent="0.2">
      <c r="A14" s="33">
        <v>1982</v>
      </c>
      <c r="B14" s="34">
        <v>107.9276924</v>
      </c>
      <c r="C14" s="34">
        <v>97.734876569999997</v>
      </c>
      <c r="D14" s="34">
        <v>91.254121830000003</v>
      </c>
      <c r="E14" s="34">
        <v>104.2156313</v>
      </c>
      <c r="F14" s="35"/>
      <c r="G14" s="33">
        <v>1982</v>
      </c>
      <c r="H14" s="34">
        <v>72.806793690000006</v>
      </c>
      <c r="I14" s="34">
        <v>71.423535220000005</v>
      </c>
      <c r="J14" s="34">
        <v>64.69005147</v>
      </c>
      <c r="K14" s="34">
        <v>78.157018969999996</v>
      </c>
      <c r="L14" s="35"/>
      <c r="M14" s="33">
        <v>1982</v>
      </c>
      <c r="N14" s="34">
        <v>130.1357745</v>
      </c>
      <c r="O14" s="34">
        <v>105.5593899</v>
      </c>
      <c r="P14" s="34">
        <v>95.861908439999993</v>
      </c>
      <c r="Q14" s="34">
        <v>115.25687139999999</v>
      </c>
      <c r="R14" s="35"/>
      <c r="S14" s="33">
        <v>1996</v>
      </c>
      <c r="T14" s="34">
        <v>107.53334340000001</v>
      </c>
      <c r="U14" s="34">
        <v>94.265743819999997</v>
      </c>
      <c r="V14" s="34">
        <v>88.020500409999997</v>
      </c>
      <c r="W14" s="34">
        <v>100.5109872</v>
      </c>
      <c r="X14" s="35"/>
      <c r="Y14" s="36">
        <v>1996</v>
      </c>
      <c r="Z14" s="35" t="s">
        <v>58</v>
      </c>
      <c r="AA14" s="34">
        <v>102.69934600000001</v>
      </c>
      <c r="AB14" s="34">
        <v>92.069148220000002</v>
      </c>
      <c r="AC14" s="34">
        <v>85.663214100000005</v>
      </c>
      <c r="AD14" s="34">
        <v>98.475082330000006</v>
      </c>
      <c r="AE14" s="35"/>
      <c r="AF14" s="36">
        <v>1996</v>
      </c>
      <c r="AG14" s="34">
        <v>91.768738909999996</v>
      </c>
      <c r="AH14" s="34">
        <v>81.003855000000001</v>
      </c>
      <c r="AI14" s="34">
        <v>74.702276339999997</v>
      </c>
      <c r="AJ14" s="34">
        <v>87.305433660000006</v>
      </c>
      <c r="AK14" s="35"/>
      <c r="AL14" s="36">
        <v>1996</v>
      </c>
      <c r="AM14" s="35" t="s">
        <v>58</v>
      </c>
      <c r="AN14" s="34">
        <v>95.166642659999994</v>
      </c>
      <c r="AO14" s="34">
        <v>90.380121320000001</v>
      </c>
      <c r="AP14" s="34">
        <v>83.112470169999995</v>
      </c>
      <c r="AQ14" s="34">
        <v>97.647772470000007</v>
      </c>
      <c r="AR14" s="35"/>
    </row>
    <row r="15" spans="1:44" ht="13.5" customHeight="1" x14ac:dyDescent="0.2">
      <c r="A15" s="33">
        <v>1983</v>
      </c>
      <c r="B15" s="34">
        <v>97.080698299999995</v>
      </c>
      <c r="C15" s="34">
        <v>97.358109529999993</v>
      </c>
      <c r="D15" s="34">
        <v>91.098893810000007</v>
      </c>
      <c r="E15" s="34">
        <v>103.6173253</v>
      </c>
      <c r="F15" s="35"/>
      <c r="G15" s="33">
        <v>1983</v>
      </c>
      <c r="H15" s="34">
        <v>63.851617859999998</v>
      </c>
      <c r="I15" s="34">
        <v>70.068039200000001</v>
      </c>
      <c r="J15" s="34">
        <v>63.341465130000003</v>
      </c>
      <c r="K15" s="34">
        <v>76.794613269999999</v>
      </c>
      <c r="L15" s="35"/>
      <c r="M15" s="33">
        <v>1983</v>
      </c>
      <c r="N15" s="34">
        <v>120.336313</v>
      </c>
      <c r="O15" s="34">
        <v>106.4295671</v>
      </c>
      <c r="P15" s="34">
        <v>97.145873089999995</v>
      </c>
      <c r="Q15" s="34">
        <v>115.7132611</v>
      </c>
      <c r="R15" s="35"/>
      <c r="S15" s="33">
        <v>1997</v>
      </c>
      <c r="T15" s="34">
        <v>118.9989554</v>
      </c>
      <c r="U15" s="34">
        <v>93.310034459999997</v>
      </c>
      <c r="V15" s="34">
        <v>87.365190310000003</v>
      </c>
      <c r="W15" s="34">
        <v>99.254878610000006</v>
      </c>
      <c r="X15" s="35"/>
      <c r="Y15" s="36">
        <v>1997</v>
      </c>
      <c r="Z15" s="35" t="s">
        <v>58</v>
      </c>
      <c r="AA15" s="34">
        <v>111.06255950000001</v>
      </c>
      <c r="AB15" s="34">
        <v>90.723791520000006</v>
      </c>
      <c r="AC15" s="34">
        <v>84.623289729999996</v>
      </c>
      <c r="AD15" s="34">
        <v>96.824293299999994</v>
      </c>
      <c r="AE15" s="35"/>
      <c r="AF15" s="36">
        <v>1997</v>
      </c>
      <c r="AG15" s="34">
        <v>100.8543799</v>
      </c>
      <c r="AH15" s="34">
        <v>78.272027370000004</v>
      </c>
      <c r="AI15" s="34">
        <v>72.066257100000001</v>
      </c>
      <c r="AJ15" s="34">
        <v>84.477797649999999</v>
      </c>
      <c r="AK15" s="35"/>
      <c r="AL15" s="36">
        <v>1997</v>
      </c>
      <c r="AM15" s="35" t="s">
        <v>58</v>
      </c>
      <c r="AN15" s="34">
        <v>115.74033849999999</v>
      </c>
      <c r="AO15" s="34">
        <v>88.77784407</v>
      </c>
      <c r="AP15" s="34">
        <v>81.861028239999996</v>
      </c>
      <c r="AQ15" s="34">
        <v>95.694659900000005</v>
      </c>
      <c r="AR15" s="35"/>
    </row>
    <row r="16" spans="1:44" ht="13.5" customHeight="1" x14ac:dyDescent="0.2">
      <c r="A16" s="33">
        <v>1984</v>
      </c>
      <c r="B16" s="34">
        <v>128.86438089999999</v>
      </c>
      <c r="C16" s="34">
        <v>96.979835429999994</v>
      </c>
      <c r="D16" s="34">
        <v>90.93625102</v>
      </c>
      <c r="E16" s="34">
        <v>103.0234198</v>
      </c>
      <c r="F16" s="35"/>
      <c r="G16" s="33">
        <v>1984</v>
      </c>
      <c r="H16" s="34">
        <v>88.546603239999996</v>
      </c>
      <c r="I16" s="34">
        <v>69.391172530000006</v>
      </c>
      <c r="J16" s="34">
        <v>62.664598460000001</v>
      </c>
      <c r="K16" s="34">
        <v>76.117746600000004</v>
      </c>
      <c r="L16" s="35"/>
      <c r="M16" s="33">
        <v>1984</v>
      </c>
      <c r="N16" s="34">
        <v>153.24866539999999</v>
      </c>
      <c r="O16" s="34">
        <v>107.2293722</v>
      </c>
      <c r="P16" s="34">
        <v>98.232146479999997</v>
      </c>
      <c r="Q16" s="34">
        <v>116.2265979</v>
      </c>
      <c r="R16" s="35"/>
      <c r="S16" s="33">
        <v>1998</v>
      </c>
      <c r="T16" s="34">
        <v>87.205353900000006</v>
      </c>
      <c r="U16" s="34">
        <v>92.354325099999997</v>
      </c>
      <c r="V16" s="34">
        <v>86.696486620000002</v>
      </c>
      <c r="W16" s="34">
        <v>98.012163569999998</v>
      </c>
      <c r="X16" s="35"/>
      <c r="Y16" s="36">
        <v>1998</v>
      </c>
      <c r="Z16" s="35" t="s">
        <v>58</v>
      </c>
      <c r="AA16" s="34">
        <v>78.626270820000002</v>
      </c>
      <c r="AB16" s="34">
        <v>89.372201500000003</v>
      </c>
      <c r="AC16" s="34">
        <v>83.524190450000006</v>
      </c>
      <c r="AD16" s="34">
        <v>95.220212559999993</v>
      </c>
      <c r="AE16" s="35"/>
      <c r="AF16" s="36">
        <v>1998</v>
      </c>
      <c r="AG16" s="34">
        <v>63.634811749999997</v>
      </c>
      <c r="AH16" s="34">
        <v>75.689067129999998</v>
      </c>
      <c r="AI16" s="34">
        <v>69.518136269999999</v>
      </c>
      <c r="AJ16" s="34">
        <v>81.859998000000004</v>
      </c>
      <c r="AK16" s="35"/>
      <c r="AL16" s="36">
        <v>1998</v>
      </c>
      <c r="AM16" s="35" t="s">
        <v>58</v>
      </c>
      <c r="AN16" s="34">
        <v>69.101066189999997</v>
      </c>
      <c r="AO16" s="34">
        <v>87.174323790000003</v>
      </c>
      <c r="AP16" s="34">
        <v>80.588852430000003</v>
      </c>
      <c r="AQ16" s="34">
        <v>93.759795150000002</v>
      </c>
      <c r="AR16" s="35"/>
    </row>
    <row r="17" spans="1:44" ht="13.5" customHeight="1" x14ac:dyDescent="0.2">
      <c r="A17" s="33">
        <v>1985</v>
      </c>
      <c r="B17" s="34">
        <v>95.748701190000006</v>
      </c>
      <c r="C17" s="34">
        <v>96.603068390000004</v>
      </c>
      <c r="D17" s="34">
        <v>90.766253730000003</v>
      </c>
      <c r="E17" s="34">
        <v>102.4398831</v>
      </c>
      <c r="F17" s="35"/>
      <c r="G17" s="33">
        <v>1985</v>
      </c>
      <c r="H17" s="34">
        <v>75.365382170000004</v>
      </c>
      <c r="I17" s="34">
        <v>69.130296830000006</v>
      </c>
      <c r="J17" s="34">
        <v>62.414087289999998</v>
      </c>
      <c r="K17" s="34">
        <v>75.846506379999994</v>
      </c>
      <c r="L17" s="35"/>
      <c r="M17" s="33">
        <v>1985</v>
      </c>
      <c r="N17" s="34">
        <v>99.861181729999998</v>
      </c>
      <c r="O17" s="34">
        <v>107.94527220000001</v>
      </c>
      <c r="P17" s="34">
        <v>99.139025349999997</v>
      </c>
      <c r="Q17" s="34">
        <v>116.7515191</v>
      </c>
      <c r="R17" s="35"/>
      <c r="S17" s="33">
        <v>1999</v>
      </c>
      <c r="T17" s="34">
        <v>89.236627530000007</v>
      </c>
      <c r="U17" s="34">
        <v>91.398615730000003</v>
      </c>
      <c r="V17" s="34">
        <v>86.010562590000006</v>
      </c>
      <c r="W17" s="34">
        <v>96.786668879999993</v>
      </c>
      <c r="X17" s="35"/>
      <c r="Y17" s="36">
        <v>1999</v>
      </c>
      <c r="Z17" s="35" t="s">
        <v>58</v>
      </c>
      <c r="AA17" s="34">
        <v>90.275037589999997</v>
      </c>
      <c r="AB17" s="34">
        <v>88.015417060000004</v>
      </c>
      <c r="AC17" s="34">
        <v>82.373063779999995</v>
      </c>
      <c r="AD17" s="34">
        <v>93.657770339999999</v>
      </c>
      <c r="AE17" s="35"/>
      <c r="AF17" s="36">
        <v>1999</v>
      </c>
      <c r="AG17" s="34">
        <v>53.665448550000001</v>
      </c>
      <c r="AH17" s="34">
        <v>73.324964170000001</v>
      </c>
      <c r="AI17" s="34">
        <v>67.162743160000005</v>
      </c>
      <c r="AJ17" s="34">
        <v>79.487185179999997</v>
      </c>
      <c r="AK17" s="35"/>
      <c r="AL17" s="36">
        <v>1999</v>
      </c>
      <c r="AM17" s="35" t="s">
        <v>58</v>
      </c>
      <c r="AN17" s="34">
        <v>55.396808919999998</v>
      </c>
      <c r="AO17" s="34">
        <v>85.570803499999997</v>
      </c>
      <c r="AP17" s="34">
        <v>79.299622119999995</v>
      </c>
      <c r="AQ17" s="34">
        <v>91.841984879999998</v>
      </c>
      <c r="AR17" s="35"/>
    </row>
    <row r="18" spans="1:44" ht="13.5" customHeight="1" x14ac:dyDescent="0.2">
      <c r="A18" s="33">
        <v>1986</v>
      </c>
      <c r="B18" s="34">
        <v>88.947324980000005</v>
      </c>
      <c r="C18" s="34">
        <v>96.224794290000006</v>
      </c>
      <c r="D18" s="34">
        <v>90.591795520000005</v>
      </c>
      <c r="E18" s="34">
        <v>101.857793</v>
      </c>
      <c r="F18" s="35"/>
      <c r="G18" s="33">
        <v>1986</v>
      </c>
      <c r="H18" s="34">
        <v>67.169467569999995</v>
      </c>
      <c r="I18" s="34">
        <v>69.172601</v>
      </c>
      <c r="J18" s="34">
        <v>62.477120499999998</v>
      </c>
      <c r="K18" s="34">
        <v>75.868081509999996</v>
      </c>
      <c r="L18" s="35"/>
      <c r="M18" s="33">
        <v>1986</v>
      </c>
      <c r="N18" s="34">
        <v>96.470982379999995</v>
      </c>
      <c r="O18" s="34">
        <v>108.5826804</v>
      </c>
      <c r="P18" s="34">
        <v>99.893142789999999</v>
      </c>
      <c r="Q18" s="34">
        <v>117.2722179</v>
      </c>
      <c r="R18" s="35"/>
      <c r="S18" s="33">
        <v>2000</v>
      </c>
      <c r="T18" s="34">
        <v>89.236627530000007</v>
      </c>
      <c r="U18" s="34">
        <v>90.442906370000003</v>
      </c>
      <c r="V18" s="34">
        <v>85.303591479999994</v>
      </c>
      <c r="W18" s="34">
        <v>95.582221270000005</v>
      </c>
      <c r="X18" s="35"/>
      <c r="Y18" s="36">
        <v>2000</v>
      </c>
      <c r="Z18" s="35" t="s">
        <v>58</v>
      </c>
      <c r="AA18" s="34">
        <v>84.83355718</v>
      </c>
      <c r="AB18" s="34">
        <v>86.657593730000002</v>
      </c>
      <c r="AC18" s="34">
        <v>81.17813769</v>
      </c>
      <c r="AD18" s="34">
        <v>92.137049770000004</v>
      </c>
      <c r="AE18" s="35"/>
      <c r="AF18" s="36">
        <v>2000</v>
      </c>
      <c r="AG18" s="34">
        <v>58.303518410000002</v>
      </c>
      <c r="AH18" s="34">
        <v>71.220823659999994</v>
      </c>
      <c r="AI18" s="34">
        <v>65.056425180000005</v>
      </c>
      <c r="AJ18" s="34">
        <v>77.385222130000002</v>
      </c>
      <c r="AK18" s="35"/>
      <c r="AL18" s="36">
        <v>2000</v>
      </c>
      <c r="AM18" s="35" t="s">
        <v>58</v>
      </c>
      <c r="AN18" s="34">
        <v>65.68780477</v>
      </c>
      <c r="AO18" s="34">
        <v>83.968526249999996</v>
      </c>
      <c r="AP18" s="34">
        <v>77.987271280000002</v>
      </c>
      <c r="AQ18" s="34">
        <v>89.949781229999999</v>
      </c>
      <c r="AR18" s="35"/>
    </row>
    <row r="19" spans="1:44" ht="13.5" customHeight="1" x14ac:dyDescent="0.2">
      <c r="A19" s="33">
        <v>1987</v>
      </c>
      <c r="B19" s="34">
        <v>89.770344440000002</v>
      </c>
      <c r="C19" s="34">
        <v>95.848027250000001</v>
      </c>
      <c r="D19" s="34">
        <v>90.409982819999996</v>
      </c>
      <c r="E19" s="34">
        <v>101.28607169999999</v>
      </c>
      <c r="F19" s="35"/>
      <c r="G19" s="33">
        <v>1987</v>
      </c>
      <c r="H19" s="34">
        <v>77.655443750000003</v>
      </c>
      <c r="I19" s="34">
        <v>69.447578089999993</v>
      </c>
      <c r="J19" s="34">
        <v>62.77628146</v>
      </c>
      <c r="K19" s="34">
        <v>76.11887471</v>
      </c>
      <c r="L19" s="35"/>
      <c r="M19" s="33">
        <v>1987</v>
      </c>
      <c r="N19" s="34">
        <v>85.584812009999993</v>
      </c>
      <c r="O19" s="34">
        <v>109.1443032</v>
      </c>
      <c r="P19" s="34">
        <v>100.5184253</v>
      </c>
      <c r="Q19" s="34">
        <v>117.7701812</v>
      </c>
      <c r="R19" s="35"/>
      <c r="S19" s="33">
        <v>2001</v>
      </c>
      <c r="T19" s="34">
        <v>84.439013130000006</v>
      </c>
      <c r="U19" s="34">
        <v>89.487197010000003</v>
      </c>
      <c r="V19" s="34">
        <v>84.573659910000003</v>
      </c>
      <c r="W19" s="34">
        <v>94.400734110000002</v>
      </c>
      <c r="X19" s="35"/>
      <c r="Y19" s="36">
        <v>2001</v>
      </c>
      <c r="Z19" s="35" t="s">
        <v>58</v>
      </c>
      <c r="AA19" s="34">
        <v>82.902509660000007</v>
      </c>
      <c r="AB19" s="34">
        <v>85.300809290000004</v>
      </c>
      <c r="AC19" s="34">
        <v>79.947598619999994</v>
      </c>
      <c r="AD19" s="34">
        <v>90.654019969999993</v>
      </c>
      <c r="AE19" s="35"/>
      <c r="AF19" s="36">
        <v>2001</v>
      </c>
      <c r="AG19" s="34">
        <v>61.758219070000003</v>
      </c>
      <c r="AH19" s="34">
        <v>69.376645600000003</v>
      </c>
      <c r="AI19" s="34">
        <v>63.212247120000001</v>
      </c>
      <c r="AJ19" s="34">
        <v>75.541044069999998</v>
      </c>
      <c r="AK19" s="35"/>
      <c r="AL19" s="36">
        <v>2001</v>
      </c>
      <c r="AM19" s="35" t="s">
        <v>58</v>
      </c>
      <c r="AN19" s="34">
        <v>80.813654830000004</v>
      </c>
      <c r="AO19" s="34">
        <v>82.365005969999999</v>
      </c>
      <c r="AP19" s="34">
        <v>76.646877489999994</v>
      </c>
      <c r="AQ19" s="34">
        <v>88.083134450000003</v>
      </c>
      <c r="AR19" s="35"/>
    </row>
    <row r="20" spans="1:44" ht="13.5" customHeight="1" x14ac:dyDescent="0.2">
      <c r="A20" s="33">
        <v>1988</v>
      </c>
      <c r="B20" s="34">
        <v>76.936582569999999</v>
      </c>
      <c r="C20" s="34">
        <v>95.469753139999995</v>
      </c>
      <c r="D20" s="34">
        <v>90.217801489999999</v>
      </c>
      <c r="E20" s="34">
        <v>100.7217048</v>
      </c>
      <c r="F20" s="35"/>
      <c r="G20" s="33">
        <v>1988</v>
      </c>
      <c r="H20" s="34">
        <v>58.772194310000003</v>
      </c>
      <c r="I20" s="34">
        <v>69.870619759999997</v>
      </c>
      <c r="J20" s="34">
        <v>63.220052180000003</v>
      </c>
      <c r="K20" s="34">
        <v>76.521187339999997</v>
      </c>
      <c r="L20" s="35"/>
      <c r="M20" s="33">
        <v>1988</v>
      </c>
      <c r="N20" s="34">
        <v>82.679282869999994</v>
      </c>
      <c r="O20" s="34">
        <v>109.6274343</v>
      </c>
      <c r="P20" s="34">
        <v>101.0333861</v>
      </c>
      <c r="Q20" s="34">
        <v>118.2214824</v>
      </c>
      <c r="R20" s="35"/>
      <c r="S20" s="33">
        <v>2002</v>
      </c>
      <c r="T20" s="34">
        <v>79.349308960000002</v>
      </c>
      <c r="U20" s="34">
        <v>88.531487650000003</v>
      </c>
      <c r="V20" s="34">
        <v>83.816941139999997</v>
      </c>
      <c r="W20" s="34">
        <v>93.24603415</v>
      </c>
      <c r="X20" s="35"/>
      <c r="Y20" s="36">
        <v>2002</v>
      </c>
      <c r="Z20" s="35" t="s">
        <v>58</v>
      </c>
      <c r="AA20" s="34">
        <v>73.547459860000004</v>
      </c>
      <c r="AB20" s="34">
        <v>83.948180390000005</v>
      </c>
      <c r="AC20" s="34">
        <v>78.688635629999993</v>
      </c>
      <c r="AD20" s="34">
        <v>89.207725150000002</v>
      </c>
      <c r="AE20" s="35"/>
      <c r="AF20" s="36">
        <v>2002</v>
      </c>
      <c r="AG20" s="34">
        <v>62.043282050000002</v>
      </c>
      <c r="AH20" s="34">
        <v>67.763545269999995</v>
      </c>
      <c r="AI20" s="34">
        <v>61.603501719999997</v>
      </c>
      <c r="AJ20" s="34">
        <v>73.923588809999998</v>
      </c>
      <c r="AK20" s="35"/>
      <c r="AL20" s="36">
        <v>2002</v>
      </c>
      <c r="AM20" s="35" t="s">
        <v>58</v>
      </c>
      <c r="AN20" s="34">
        <v>65.839230790000002</v>
      </c>
      <c r="AO20" s="34">
        <v>80.761485680000007</v>
      </c>
      <c r="AP20" s="34">
        <v>75.274811060000005</v>
      </c>
      <c r="AQ20" s="34">
        <v>86.248160299999995</v>
      </c>
      <c r="AR20" s="35"/>
    </row>
    <row r="21" spans="1:44" ht="13.5" customHeight="1" x14ac:dyDescent="0.2">
      <c r="A21" s="33">
        <v>1989</v>
      </c>
      <c r="B21" s="34">
        <v>101.6559707</v>
      </c>
      <c r="C21" s="34">
        <v>95.092986100000005</v>
      </c>
      <c r="D21" s="34">
        <v>90.021219520000002</v>
      </c>
      <c r="E21" s="34">
        <v>100.16475269999999</v>
      </c>
      <c r="F21" s="35"/>
      <c r="G21" s="33">
        <v>1989</v>
      </c>
      <c r="H21" s="34">
        <v>68.260883609999993</v>
      </c>
      <c r="I21" s="34">
        <v>70.418811250000005</v>
      </c>
      <c r="J21" s="34">
        <v>63.788972710000003</v>
      </c>
      <c r="K21" s="34">
        <v>77.048649789999999</v>
      </c>
      <c r="L21" s="35"/>
      <c r="M21" s="33">
        <v>1989</v>
      </c>
      <c r="N21" s="34">
        <v>123.707691</v>
      </c>
      <c r="O21" s="34">
        <v>110.0185403</v>
      </c>
      <c r="P21" s="34">
        <v>101.43775460000001</v>
      </c>
      <c r="Q21" s="34">
        <v>118.5993261</v>
      </c>
      <c r="R21" s="35"/>
      <c r="S21" s="33">
        <v>2003</v>
      </c>
      <c r="T21" s="34">
        <v>96.725982299999998</v>
      </c>
      <c r="U21" s="34">
        <v>87.575778279999994</v>
      </c>
      <c r="V21" s="34">
        <v>83.031521810000001</v>
      </c>
      <c r="W21" s="34">
        <v>92.120034750000002</v>
      </c>
      <c r="X21" s="35"/>
      <c r="Y21" s="36">
        <v>2003</v>
      </c>
      <c r="Z21" s="35" t="s">
        <v>58</v>
      </c>
      <c r="AA21" s="34">
        <v>89.036417639999996</v>
      </c>
      <c r="AB21" s="34">
        <v>82.600745919999994</v>
      </c>
      <c r="AC21" s="34">
        <v>77.412468700000005</v>
      </c>
      <c r="AD21" s="34">
        <v>87.789023139999998</v>
      </c>
      <c r="AE21" s="35"/>
      <c r="AF21" s="36">
        <v>2003</v>
      </c>
      <c r="AG21" s="34">
        <v>77.036184329999998</v>
      </c>
      <c r="AH21" s="34">
        <v>66.334862740000005</v>
      </c>
      <c r="AI21" s="34">
        <v>60.181351579999998</v>
      </c>
      <c r="AJ21" s="34">
        <v>72.488373899999999</v>
      </c>
      <c r="AK21" s="35"/>
      <c r="AL21" s="36">
        <v>2003</v>
      </c>
      <c r="AM21" s="35" t="s">
        <v>58</v>
      </c>
      <c r="AN21" s="34">
        <v>83.846463270000001</v>
      </c>
      <c r="AO21" s="34">
        <v>79.157965390000001</v>
      </c>
      <c r="AP21" s="34">
        <v>73.868635639999994</v>
      </c>
      <c r="AQ21" s="34">
        <v>84.447295150000002</v>
      </c>
      <c r="AR21" s="35"/>
    </row>
    <row r="22" spans="1:44" ht="13.5" customHeight="1" x14ac:dyDescent="0.2">
      <c r="A22" s="33">
        <v>1990</v>
      </c>
      <c r="B22" s="34">
        <v>108.425864</v>
      </c>
      <c r="C22" s="34">
        <v>94.714712000000006</v>
      </c>
      <c r="D22" s="34">
        <v>89.811315070000006</v>
      </c>
      <c r="E22" s="34">
        <v>99.618108930000005</v>
      </c>
      <c r="F22" s="35"/>
      <c r="G22" s="33">
        <v>1990</v>
      </c>
      <c r="H22" s="34">
        <v>78.917243209999995</v>
      </c>
      <c r="I22" s="34">
        <v>70.986392159999994</v>
      </c>
      <c r="J22" s="34">
        <v>64.370372979999999</v>
      </c>
      <c r="K22" s="34">
        <v>77.602411340000003</v>
      </c>
      <c r="L22" s="35"/>
      <c r="M22" s="33">
        <v>1990</v>
      </c>
      <c r="N22" s="34">
        <v>121.72974189999999</v>
      </c>
      <c r="O22" s="34">
        <v>110.2919086</v>
      </c>
      <c r="P22" s="34">
        <v>101.71377529999999</v>
      </c>
      <c r="Q22" s="34">
        <v>118.8700418</v>
      </c>
      <c r="R22" s="35"/>
      <c r="S22" s="33">
        <v>2004</v>
      </c>
      <c r="T22" s="34">
        <v>95.839193159999994</v>
      </c>
      <c r="U22" s="34">
        <v>86.620068919999994</v>
      </c>
      <c r="V22" s="34">
        <v>82.211661800000002</v>
      </c>
      <c r="W22" s="34">
        <v>91.028476040000001</v>
      </c>
      <c r="X22" s="35"/>
      <c r="Y22" s="36">
        <v>2004</v>
      </c>
      <c r="Z22" s="35" t="s">
        <v>58</v>
      </c>
      <c r="AA22" s="34">
        <v>89.036417639999996</v>
      </c>
      <c r="AB22" s="34">
        <v>81.259544759999997</v>
      </c>
      <c r="AC22" s="34">
        <v>76.120136720000005</v>
      </c>
      <c r="AD22" s="34">
        <v>86.398952800000004</v>
      </c>
      <c r="AE22" s="35"/>
      <c r="AF22" s="36">
        <v>2004</v>
      </c>
      <c r="AG22" s="34">
        <v>77.391767200000004</v>
      </c>
      <c r="AH22" s="34">
        <v>65.032828589999994</v>
      </c>
      <c r="AI22" s="34">
        <v>58.888027280000003</v>
      </c>
      <c r="AJ22" s="34">
        <v>71.177629899999999</v>
      </c>
      <c r="AK22" s="35"/>
      <c r="AL22" s="36">
        <v>2004</v>
      </c>
      <c r="AM22" s="35" t="s">
        <v>58</v>
      </c>
      <c r="AN22" s="34">
        <v>84.622285039999994</v>
      </c>
      <c r="AO22" s="34">
        <v>77.555688149999995</v>
      </c>
      <c r="AP22" s="34">
        <v>72.424721559999995</v>
      </c>
      <c r="AQ22" s="34">
        <v>82.686654730000001</v>
      </c>
      <c r="AR22" s="35"/>
    </row>
    <row r="23" spans="1:44" ht="13.5" customHeight="1" x14ac:dyDescent="0.2">
      <c r="A23" s="33">
        <v>1991</v>
      </c>
      <c r="B23" s="34">
        <v>102.5965818</v>
      </c>
      <c r="C23" s="34">
        <v>94.337944960000002</v>
      </c>
      <c r="D23" s="34">
        <v>89.591102269999993</v>
      </c>
      <c r="E23" s="34">
        <v>99.084787649999996</v>
      </c>
      <c r="F23" s="35"/>
      <c r="G23" s="33">
        <v>1991</v>
      </c>
      <c r="H23" s="34">
        <v>63.2662227</v>
      </c>
      <c r="I23" s="34">
        <v>71.449975319999993</v>
      </c>
      <c r="J23" s="34">
        <v>64.844320670000002</v>
      </c>
      <c r="K23" s="34">
        <v>78.055629980000006</v>
      </c>
      <c r="L23" s="35"/>
      <c r="M23" s="33">
        <v>1991</v>
      </c>
      <c r="N23" s="34">
        <v>136.26888460000001</v>
      </c>
      <c r="O23" s="34">
        <v>110.4326526</v>
      </c>
      <c r="P23" s="34">
        <v>101.84921439999999</v>
      </c>
      <c r="Q23" s="34">
        <v>119.0160908</v>
      </c>
      <c r="R23" s="35"/>
      <c r="S23" s="33">
        <v>2005</v>
      </c>
      <c r="T23" s="34">
        <v>90.269938980000006</v>
      </c>
      <c r="U23" s="34">
        <v>85.664359559999994</v>
      </c>
      <c r="V23" s="34">
        <v>81.355447740000002</v>
      </c>
      <c r="W23" s="34">
        <v>89.97327138</v>
      </c>
      <c r="X23" s="35"/>
      <c r="Y23" s="36">
        <v>2005</v>
      </c>
      <c r="Z23" s="35" t="s">
        <v>58</v>
      </c>
      <c r="AA23" s="34">
        <v>88.627332460000005</v>
      </c>
      <c r="AB23" s="34">
        <v>79.926654679999999</v>
      </c>
      <c r="AC23" s="34">
        <v>74.817789880000007</v>
      </c>
      <c r="AD23" s="34">
        <v>85.035519489999999</v>
      </c>
      <c r="AE23" s="35"/>
      <c r="AF23" s="36">
        <v>2005</v>
      </c>
      <c r="AG23" s="34">
        <v>67.095711660000006</v>
      </c>
      <c r="AH23" s="34">
        <v>63.821892390000002</v>
      </c>
      <c r="AI23" s="34">
        <v>57.68580094</v>
      </c>
      <c r="AJ23" s="34">
        <v>69.957983850000005</v>
      </c>
      <c r="AK23" s="35"/>
      <c r="AL23" s="36">
        <v>2005</v>
      </c>
      <c r="AM23" s="35" t="s">
        <v>58</v>
      </c>
      <c r="AN23" s="34">
        <v>76.117540739999995</v>
      </c>
      <c r="AO23" s="34">
        <v>75.952167860000003</v>
      </c>
      <c r="AP23" s="34">
        <v>70.938146380000006</v>
      </c>
      <c r="AQ23" s="34">
        <v>80.96618934</v>
      </c>
      <c r="AR23" s="35"/>
    </row>
    <row r="24" spans="1:44" ht="13.5" customHeight="1" x14ac:dyDescent="0.2">
      <c r="A24" s="33">
        <v>1992</v>
      </c>
      <c r="B24" s="34">
        <v>128.27230280000001</v>
      </c>
      <c r="C24" s="34">
        <v>93.959670860000003</v>
      </c>
      <c r="D24" s="34">
        <v>89.360520840000007</v>
      </c>
      <c r="E24" s="34">
        <v>98.558820870000005</v>
      </c>
      <c r="F24" s="35"/>
      <c r="G24" s="33">
        <v>1992</v>
      </c>
      <c r="H24" s="34">
        <v>88.139768559999993</v>
      </c>
      <c r="I24" s="34">
        <v>71.749629839999997</v>
      </c>
      <c r="J24" s="34">
        <v>65.150884860000005</v>
      </c>
      <c r="K24" s="34">
        <v>78.348374809999996</v>
      </c>
      <c r="L24" s="35"/>
      <c r="M24" s="33">
        <v>1992</v>
      </c>
      <c r="N24" s="34">
        <v>153.95602909999999</v>
      </c>
      <c r="O24" s="34">
        <v>110.4231795</v>
      </c>
      <c r="P24" s="34">
        <v>101.8370888</v>
      </c>
      <c r="Q24" s="34">
        <v>119.0092702</v>
      </c>
      <c r="R24" s="35"/>
      <c r="S24" s="33">
        <v>2006</v>
      </c>
      <c r="T24" s="34">
        <v>93.227309079999998</v>
      </c>
      <c r="U24" s="34">
        <v>84.70865019</v>
      </c>
      <c r="V24" s="34">
        <v>80.460966249999998</v>
      </c>
      <c r="W24" s="34">
        <v>88.956334139999996</v>
      </c>
      <c r="X24" s="35"/>
      <c r="Y24" s="36">
        <v>2006</v>
      </c>
      <c r="Z24" s="35" t="s">
        <v>58</v>
      </c>
      <c r="AA24" s="34">
        <v>94.747482189999999</v>
      </c>
      <c r="AB24" s="34">
        <v>78.605192349999996</v>
      </c>
      <c r="AC24" s="34">
        <v>73.514653480000007</v>
      </c>
      <c r="AD24" s="34">
        <v>83.695731219999999</v>
      </c>
      <c r="AE24" s="35"/>
      <c r="AF24" s="36">
        <v>2006</v>
      </c>
      <c r="AG24" s="34">
        <v>69.935029700000001</v>
      </c>
      <c r="AH24" s="34">
        <v>62.695388440000002</v>
      </c>
      <c r="AI24" s="34">
        <v>56.563651919999998</v>
      </c>
      <c r="AJ24" s="34">
        <v>68.82712497</v>
      </c>
      <c r="AK24" s="35"/>
      <c r="AL24" s="36">
        <v>2006</v>
      </c>
      <c r="AM24" s="35" t="s">
        <v>58</v>
      </c>
      <c r="AN24" s="34">
        <v>89.843104069999995</v>
      </c>
      <c r="AO24" s="34">
        <v>74.348647569999997</v>
      </c>
      <c r="AP24" s="34">
        <v>69.405280430000005</v>
      </c>
      <c r="AQ24" s="34">
        <v>79.292014719999997</v>
      </c>
      <c r="AR24" s="35"/>
    </row>
    <row r="25" spans="1:44" ht="13.5" customHeight="1" x14ac:dyDescent="0.2">
      <c r="A25" s="33">
        <v>1993</v>
      </c>
      <c r="B25" s="34">
        <v>85.730013389999996</v>
      </c>
      <c r="C25" s="34">
        <v>93.582903819999999</v>
      </c>
      <c r="D25" s="34">
        <v>89.113723359999994</v>
      </c>
      <c r="E25" s="34">
        <v>98.052084280000003</v>
      </c>
      <c r="F25" s="35"/>
      <c r="G25" s="33">
        <v>1993</v>
      </c>
      <c r="H25" s="34">
        <v>68.575961539999994</v>
      </c>
      <c r="I25" s="34">
        <v>71.758443209999996</v>
      </c>
      <c r="J25" s="34">
        <v>65.163153070000007</v>
      </c>
      <c r="K25" s="34">
        <v>78.353733340000005</v>
      </c>
      <c r="L25" s="35"/>
      <c r="M25" s="33">
        <v>1993</v>
      </c>
      <c r="N25" s="34">
        <v>87.578338369999997</v>
      </c>
      <c r="O25" s="34">
        <v>110.2634891</v>
      </c>
      <c r="P25" s="34">
        <v>101.6747459</v>
      </c>
      <c r="Q25" s="34">
        <v>118.8522323</v>
      </c>
      <c r="R25" s="35"/>
      <c r="S25" s="33">
        <v>2007</v>
      </c>
      <c r="T25" s="34">
        <v>63.320326989999998</v>
      </c>
      <c r="U25" s="34">
        <v>83.75294083</v>
      </c>
      <c r="V25" s="34">
        <v>79.526303970000001</v>
      </c>
      <c r="W25" s="34">
        <v>87.979577689999999</v>
      </c>
      <c r="X25" s="35"/>
      <c r="Y25" s="36">
        <v>2007</v>
      </c>
      <c r="Z25" s="35" t="s">
        <v>58</v>
      </c>
      <c r="AA25" s="34">
        <v>59.644125850000002</v>
      </c>
      <c r="AB25" s="34">
        <v>77.298274410000005</v>
      </c>
      <c r="AC25" s="34">
        <v>72.213844190000003</v>
      </c>
      <c r="AD25" s="34">
        <v>82.382704630000006</v>
      </c>
      <c r="AE25" s="35"/>
      <c r="AF25" s="36">
        <v>2007</v>
      </c>
      <c r="AG25" s="34">
        <v>49.056297129999997</v>
      </c>
      <c r="AH25" s="34">
        <v>61.652205789999996</v>
      </c>
      <c r="AI25" s="34">
        <v>55.522646729999998</v>
      </c>
      <c r="AJ25" s="34">
        <v>67.781764859999996</v>
      </c>
      <c r="AK25" s="35"/>
      <c r="AL25" s="36">
        <v>2007</v>
      </c>
      <c r="AM25" s="35" t="s">
        <v>58</v>
      </c>
      <c r="AN25" s="34">
        <v>61.870659930000002</v>
      </c>
      <c r="AO25" s="34">
        <v>72.746370330000005</v>
      </c>
      <c r="AP25" s="34">
        <v>67.827366749999996</v>
      </c>
      <c r="AQ25" s="34">
        <v>77.66537391</v>
      </c>
      <c r="AR25" s="35"/>
    </row>
    <row r="26" spans="1:44" ht="13.5" customHeight="1" x14ac:dyDescent="0.2">
      <c r="A26" s="33">
        <v>1994</v>
      </c>
      <c r="B26" s="34">
        <v>93.784893929999996</v>
      </c>
      <c r="C26" s="34">
        <v>93.204629710000006</v>
      </c>
      <c r="D26" s="34">
        <v>88.853603399999997</v>
      </c>
      <c r="E26" s="34">
        <v>97.555656029999994</v>
      </c>
      <c r="F26" s="35"/>
      <c r="G26" s="33">
        <v>1994</v>
      </c>
      <c r="H26" s="34">
        <v>73.989808920000002</v>
      </c>
      <c r="I26" s="34">
        <v>71.476415430000003</v>
      </c>
      <c r="J26" s="34">
        <v>64.884580130000003</v>
      </c>
      <c r="K26" s="34">
        <v>78.068250719999995</v>
      </c>
      <c r="L26" s="35"/>
      <c r="M26" s="33">
        <v>1994</v>
      </c>
      <c r="N26" s="34">
        <v>97.139687289999998</v>
      </c>
      <c r="O26" s="34">
        <v>109.96846789999999</v>
      </c>
      <c r="P26" s="34">
        <v>101.3797247</v>
      </c>
      <c r="Q26" s="34">
        <v>118.5572111</v>
      </c>
      <c r="R26" s="35"/>
      <c r="S26" s="33">
        <v>2008</v>
      </c>
      <c r="T26" s="34">
        <v>58.687167479999999</v>
      </c>
      <c r="U26" s="34">
        <v>82.79723147</v>
      </c>
      <c r="V26" s="34">
        <v>78.549547529999998</v>
      </c>
      <c r="W26" s="34">
        <v>87.044915410000002</v>
      </c>
      <c r="X26" s="35"/>
      <c r="Y26" s="36">
        <v>2008</v>
      </c>
      <c r="Z26" s="35" t="s">
        <v>58</v>
      </c>
      <c r="AA26" s="34">
        <v>54.021629240000003</v>
      </c>
      <c r="AB26" s="34">
        <v>76.010056410000004</v>
      </c>
      <c r="AC26" s="34">
        <v>70.919517540000001</v>
      </c>
      <c r="AD26" s="34">
        <v>81.100595279999993</v>
      </c>
      <c r="AE26" s="35"/>
      <c r="AF26" s="36">
        <v>2008</v>
      </c>
      <c r="AG26" s="34">
        <v>44.946384600000002</v>
      </c>
      <c r="AH26" s="34">
        <v>60.706786800000003</v>
      </c>
      <c r="AI26" s="34">
        <v>54.575050269999998</v>
      </c>
      <c r="AJ26" s="34">
        <v>66.838523319999993</v>
      </c>
      <c r="AK26" s="35"/>
      <c r="AL26" s="36">
        <v>2008</v>
      </c>
      <c r="AM26" s="35" t="s">
        <v>58</v>
      </c>
      <c r="AN26" s="34">
        <v>55.396808919999998</v>
      </c>
      <c r="AO26" s="34">
        <v>71.142850039999999</v>
      </c>
      <c r="AP26" s="34">
        <v>66.199482900000007</v>
      </c>
      <c r="AQ26" s="34">
        <v>76.086217180000006</v>
      </c>
      <c r="AR26" s="35"/>
    </row>
    <row r="27" spans="1:44" ht="13.5" customHeight="1" x14ac:dyDescent="0.2">
      <c r="A27" s="33">
        <v>1995</v>
      </c>
      <c r="B27" s="34">
        <v>110.4416513</v>
      </c>
      <c r="C27" s="34">
        <v>92.827862679999996</v>
      </c>
      <c r="D27" s="34">
        <v>88.58022124</v>
      </c>
      <c r="E27" s="34">
        <v>97.075504109999997</v>
      </c>
      <c r="F27" s="35"/>
      <c r="G27" s="33">
        <v>1995</v>
      </c>
      <c r="H27" s="34">
        <v>82.6364983</v>
      </c>
      <c r="I27" s="34">
        <v>70.878869069999993</v>
      </c>
      <c r="J27" s="34">
        <v>64.287033769999994</v>
      </c>
      <c r="K27" s="34">
        <v>77.470704359999999</v>
      </c>
      <c r="L27" s="35"/>
      <c r="M27" s="33">
        <v>1995</v>
      </c>
      <c r="N27" s="34">
        <v>120.89176019999999</v>
      </c>
      <c r="O27" s="34">
        <v>109.54352919999999</v>
      </c>
      <c r="P27" s="34">
        <v>100.954786</v>
      </c>
      <c r="Q27" s="34">
        <v>118.1322723</v>
      </c>
      <c r="R27" s="35"/>
      <c r="S27" s="33">
        <v>2009</v>
      </c>
      <c r="T27" s="34">
        <v>76.832178769999999</v>
      </c>
      <c r="U27" s="34">
        <v>81.84152211</v>
      </c>
      <c r="V27" s="34">
        <v>77.530696919999997</v>
      </c>
      <c r="W27" s="34">
        <v>86.152347300000002</v>
      </c>
      <c r="X27" s="35"/>
      <c r="Y27" s="36">
        <v>2009</v>
      </c>
      <c r="Z27" s="35" t="s">
        <v>58</v>
      </c>
      <c r="AA27" s="34">
        <v>65.098004790000005</v>
      </c>
      <c r="AB27" s="34">
        <v>74.746771659999993</v>
      </c>
      <c r="AC27" s="34">
        <v>69.637906849999993</v>
      </c>
      <c r="AD27" s="34">
        <v>79.855636469999993</v>
      </c>
      <c r="AE27" s="35"/>
      <c r="AF27" s="36">
        <v>2009</v>
      </c>
      <c r="AG27" s="34">
        <v>60.770773429999998</v>
      </c>
      <c r="AH27" s="34">
        <v>59.849132900000001</v>
      </c>
      <c r="AI27" s="34">
        <v>53.71086399</v>
      </c>
      <c r="AJ27" s="34">
        <v>65.987401820000002</v>
      </c>
      <c r="AK27" s="35"/>
      <c r="AL27" s="36">
        <v>2009</v>
      </c>
      <c r="AM27" s="35" t="s">
        <v>58</v>
      </c>
      <c r="AN27" s="34">
        <v>64.935882680000006</v>
      </c>
      <c r="AO27" s="34">
        <v>69.539329749999993</v>
      </c>
      <c r="AP27" s="34">
        <v>64.52287192</v>
      </c>
      <c r="AQ27" s="34">
        <v>74.555787589999994</v>
      </c>
      <c r="AR27" s="35"/>
    </row>
    <row r="28" spans="1:44" ht="13.5" customHeight="1" x14ac:dyDescent="0.2">
      <c r="A28" s="33">
        <v>1996</v>
      </c>
      <c r="B28" s="34">
        <v>110.1876426</v>
      </c>
      <c r="C28" s="34">
        <v>92.449588570000003</v>
      </c>
      <c r="D28" s="34">
        <v>88.287608890000001</v>
      </c>
      <c r="E28" s="34">
        <v>96.611568259999999</v>
      </c>
      <c r="F28" s="35"/>
      <c r="G28" s="33">
        <v>1996</v>
      </c>
      <c r="H28" s="34">
        <v>76.589971120000001</v>
      </c>
      <c r="I28" s="34">
        <v>69.96051611</v>
      </c>
      <c r="J28" s="34">
        <v>63.368680820000002</v>
      </c>
      <c r="K28" s="34">
        <v>76.55235141</v>
      </c>
      <c r="L28" s="35"/>
      <c r="M28" s="33">
        <v>1996</v>
      </c>
      <c r="N28" s="34">
        <v>130.73645389999999</v>
      </c>
      <c r="O28" s="34">
        <v>108.9913794</v>
      </c>
      <c r="P28" s="34">
        <v>100.4052887</v>
      </c>
      <c r="Q28" s="34">
        <v>117.5774701</v>
      </c>
      <c r="R28" s="35"/>
      <c r="S28" s="33">
        <v>2010</v>
      </c>
      <c r="T28" s="34">
        <v>86.405850409999999</v>
      </c>
      <c r="U28" s="34">
        <v>80.885812740000006</v>
      </c>
      <c r="V28" s="34">
        <v>76.475492250000002</v>
      </c>
      <c r="W28" s="34">
        <v>85.296133229999995</v>
      </c>
      <c r="X28" s="35"/>
      <c r="Y28" s="36">
        <v>2010</v>
      </c>
      <c r="Z28" s="35" t="s">
        <v>58</v>
      </c>
      <c r="AA28" s="34">
        <v>79.536720130000006</v>
      </c>
      <c r="AB28" s="34">
        <v>73.507381280000004</v>
      </c>
      <c r="AC28" s="34">
        <v>68.365937020000004</v>
      </c>
      <c r="AD28" s="34">
        <v>78.648825540000004</v>
      </c>
      <c r="AE28" s="35"/>
      <c r="AF28" s="36">
        <v>2010</v>
      </c>
      <c r="AG28" s="34">
        <v>78.468393930000005</v>
      </c>
      <c r="AH28" s="34">
        <v>59.029251330000001</v>
      </c>
      <c r="AI28" s="34">
        <v>52.884450020000003</v>
      </c>
      <c r="AJ28" s="34">
        <v>65.174052639999999</v>
      </c>
      <c r="AK28" s="35"/>
      <c r="AL28" s="36">
        <v>2010</v>
      </c>
      <c r="AM28" s="35" t="s">
        <v>58</v>
      </c>
      <c r="AN28" s="34">
        <v>104.588696</v>
      </c>
      <c r="AO28" s="34">
        <v>67.935809469999995</v>
      </c>
      <c r="AP28" s="34">
        <v>62.802406519999998</v>
      </c>
      <c r="AQ28" s="34">
        <v>73.069212410000006</v>
      </c>
      <c r="AR28" s="35"/>
    </row>
    <row r="29" spans="1:44" ht="13.5" customHeight="1" x14ac:dyDescent="0.2">
      <c r="A29" s="33">
        <v>1997</v>
      </c>
      <c r="B29" s="34">
        <v>115.11525810000001</v>
      </c>
      <c r="C29" s="34">
        <v>92.072821529999999</v>
      </c>
      <c r="D29" s="34">
        <v>87.978780479999998</v>
      </c>
      <c r="E29" s="34">
        <v>96.166862589999994</v>
      </c>
      <c r="F29" s="35"/>
      <c r="G29" s="33">
        <v>1997</v>
      </c>
      <c r="H29" s="34">
        <v>78.013885000000002</v>
      </c>
      <c r="I29" s="34">
        <v>68.802439539999995</v>
      </c>
      <c r="J29" s="34">
        <v>62.210604240000002</v>
      </c>
      <c r="K29" s="34">
        <v>75.394274839999994</v>
      </c>
      <c r="L29" s="35"/>
      <c r="M29" s="33">
        <v>1997</v>
      </c>
      <c r="N29" s="34">
        <v>139.764444</v>
      </c>
      <c r="O29" s="34">
        <v>108.317432</v>
      </c>
      <c r="P29" s="34">
        <v>99.733993749999996</v>
      </c>
      <c r="Q29" s="34">
        <v>116.9008702</v>
      </c>
      <c r="R29" s="35"/>
      <c r="S29" s="33">
        <v>2011</v>
      </c>
      <c r="T29" s="34">
        <v>84.828765899999993</v>
      </c>
      <c r="U29" s="34">
        <v>79.930103380000006</v>
      </c>
      <c r="V29" s="34">
        <v>75.382020170000004</v>
      </c>
      <c r="W29" s="34">
        <v>84.478186590000007</v>
      </c>
      <c r="X29" s="35"/>
      <c r="Y29" s="36">
        <v>2011</v>
      </c>
      <c r="Z29" s="35" t="s">
        <v>58</v>
      </c>
      <c r="AA29" s="34">
        <v>84.249567080000006</v>
      </c>
      <c r="AB29" s="34">
        <v>72.291885269999995</v>
      </c>
      <c r="AC29" s="34">
        <v>67.101571829999997</v>
      </c>
      <c r="AD29" s="34">
        <v>77.482198699999998</v>
      </c>
      <c r="AE29" s="35"/>
      <c r="AF29" s="36">
        <v>2011</v>
      </c>
      <c r="AG29" s="34">
        <v>71.564025810000004</v>
      </c>
      <c r="AH29" s="34">
        <v>58.204925959999997</v>
      </c>
      <c r="AI29" s="34">
        <v>52.051414800000003</v>
      </c>
      <c r="AJ29" s="34">
        <v>64.358437109999997</v>
      </c>
      <c r="AK29" s="35"/>
      <c r="AL29" s="36">
        <v>2011</v>
      </c>
      <c r="AM29" s="35" t="s">
        <v>58</v>
      </c>
      <c r="AN29" s="34">
        <v>100.5737743</v>
      </c>
      <c r="AO29" s="34">
        <v>66.333532219999995</v>
      </c>
      <c r="AP29" s="34">
        <v>61.03932975</v>
      </c>
      <c r="AQ29" s="34">
        <v>71.627734689999997</v>
      </c>
      <c r="AR29" s="35"/>
    </row>
    <row r="30" spans="1:44" ht="13.5" customHeight="1" x14ac:dyDescent="0.2">
      <c r="A30" s="33">
        <v>1998</v>
      </c>
      <c r="B30" s="34">
        <v>81.683227900000006</v>
      </c>
      <c r="C30" s="34">
        <v>91.69454743</v>
      </c>
      <c r="D30" s="34">
        <v>87.65072189</v>
      </c>
      <c r="E30" s="34">
        <v>95.73837297</v>
      </c>
      <c r="F30" s="35"/>
      <c r="G30" s="33">
        <v>1998</v>
      </c>
      <c r="H30" s="34">
        <v>53.848288680000003</v>
      </c>
      <c r="I30" s="34">
        <v>67.536839880000002</v>
      </c>
      <c r="J30" s="34">
        <v>60.945004580000003</v>
      </c>
      <c r="K30" s="34">
        <v>74.128675169999994</v>
      </c>
      <c r="L30" s="35"/>
      <c r="M30" s="33">
        <v>1998</v>
      </c>
      <c r="N30" s="34">
        <v>102.1872475</v>
      </c>
      <c r="O30" s="34">
        <v>107.53521979999999</v>
      </c>
      <c r="P30" s="34">
        <v>98.954434109999994</v>
      </c>
      <c r="Q30" s="34">
        <v>116.11600559999999</v>
      </c>
      <c r="R30" s="35"/>
      <c r="S30" s="33">
        <v>2012</v>
      </c>
      <c r="T30" s="34">
        <v>50.879536799999997</v>
      </c>
      <c r="U30" s="34">
        <v>78.974394020000005</v>
      </c>
      <c r="V30" s="34">
        <v>74.256020770000006</v>
      </c>
      <c r="W30" s="34">
        <v>83.692767259999997</v>
      </c>
      <c r="X30" s="35"/>
      <c r="Y30" s="36">
        <v>2012</v>
      </c>
      <c r="Z30" s="35" t="s">
        <v>58</v>
      </c>
      <c r="AA30" s="34">
        <v>48.036093100000002</v>
      </c>
      <c r="AB30" s="34">
        <v>71.100283619999999</v>
      </c>
      <c r="AC30" s="34">
        <v>65.840738860000002</v>
      </c>
      <c r="AD30" s="34">
        <v>76.359828379999996</v>
      </c>
      <c r="AE30" s="35"/>
      <c r="AF30" s="36">
        <v>2012</v>
      </c>
      <c r="AG30" s="34">
        <v>40.150851840000001</v>
      </c>
      <c r="AH30" s="34">
        <v>57.371712969999997</v>
      </c>
      <c r="AI30" s="34">
        <v>51.211669430000001</v>
      </c>
      <c r="AJ30" s="34">
        <v>63.531756520000002</v>
      </c>
      <c r="AK30" s="35"/>
      <c r="AL30" s="36">
        <v>2012</v>
      </c>
      <c r="AM30" s="35" t="s">
        <v>58</v>
      </c>
      <c r="AN30" s="34">
        <v>54.385703210000003</v>
      </c>
      <c r="AO30" s="34">
        <v>64.730011930000003</v>
      </c>
      <c r="AP30" s="34">
        <v>59.2384646</v>
      </c>
      <c r="AQ30" s="34">
        <v>70.22155927</v>
      </c>
      <c r="AR30" s="35"/>
    </row>
    <row r="31" spans="1:44" ht="13.5" customHeight="1" x14ac:dyDescent="0.2">
      <c r="A31" s="33">
        <v>1999</v>
      </c>
      <c r="B31" s="34">
        <v>81.120924509999995</v>
      </c>
      <c r="C31" s="34">
        <v>91.317780389999996</v>
      </c>
      <c r="D31" s="34">
        <v>87.303493380000006</v>
      </c>
      <c r="E31" s="34">
        <v>95.3320674</v>
      </c>
      <c r="F31" s="35"/>
      <c r="G31" s="33">
        <v>1999</v>
      </c>
      <c r="H31" s="34">
        <v>58.23336759</v>
      </c>
      <c r="I31" s="34">
        <v>66.368187270000007</v>
      </c>
      <c r="J31" s="34">
        <v>59.77635197</v>
      </c>
      <c r="K31" s="34">
        <v>72.960022559999999</v>
      </c>
      <c r="L31" s="35"/>
      <c r="M31" s="33">
        <v>1999</v>
      </c>
      <c r="N31" s="34">
        <v>92.767681170000003</v>
      </c>
      <c r="O31" s="34">
        <v>106.6745159</v>
      </c>
      <c r="P31" s="34">
        <v>98.096382610000006</v>
      </c>
      <c r="Q31" s="34">
        <v>115.2526491</v>
      </c>
      <c r="R31" s="35"/>
      <c r="S31" s="33">
        <v>2013</v>
      </c>
      <c r="T31" s="34">
        <v>81.384771580000006</v>
      </c>
      <c r="U31" s="34">
        <v>78.018684649999997</v>
      </c>
      <c r="V31" s="34">
        <v>73.099407439999993</v>
      </c>
      <c r="W31" s="34">
        <v>82.937961869999995</v>
      </c>
      <c r="X31" s="35"/>
      <c r="Y31" s="36">
        <v>2013</v>
      </c>
      <c r="Z31" s="35" t="s">
        <v>58</v>
      </c>
      <c r="AA31" s="34">
        <v>65.248071190000005</v>
      </c>
      <c r="AB31" s="34">
        <v>69.935692990000007</v>
      </c>
      <c r="AC31" s="34">
        <v>64.580446100000003</v>
      </c>
      <c r="AD31" s="34">
        <v>75.290939879999996</v>
      </c>
      <c r="AE31" s="35"/>
      <c r="AF31" s="36">
        <v>2013</v>
      </c>
      <c r="AG31" s="34">
        <v>60.213623630000001</v>
      </c>
      <c r="AH31" s="34">
        <v>56.558497109999998</v>
      </c>
      <c r="AI31" s="34">
        <v>50.394098630000002</v>
      </c>
      <c r="AJ31" s="34">
        <v>62.722895579999999</v>
      </c>
      <c r="AK31" s="35"/>
      <c r="AL31" s="36">
        <v>2013</v>
      </c>
      <c r="AM31" s="35" t="s">
        <v>58</v>
      </c>
      <c r="AN31" s="34">
        <v>59.632737749999997</v>
      </c>
      <c r="AO31" s="34">
        <v>63.126491649999998</v>
      </c>
      <c r="AP31" s="34">
        <v>57.40349045</v>
      </c>
      <c r="AQ31" s="34">
        <v>68.849492839999996</v>
      </c>
      <c r="AR31" s="35"/>
    </row>
    <row r="32" spans="1:44" ht="13.5" customHeight="1" x14ac:dyDescent="0.2">
      <c r="A32" s="33">
        <v>2000</v>
      </c>
      <c r="B32" s="34">
        <v>85.336119760000003</v>
      </c>
      <c r="C32" s="34">
        <v>90.939506280000003</v>
      </c>
      <c r="D32" s="34">
        <v>86.934080839999993</v>
      </c>
      <c r="E32" s="34">
        <v>94.944931729999993</v>
      </c>
      <c r="F32" s="35"/>
      <c r="G32" s="33">
        <v>2000</v>
      </c>
      <c r="H32" s="34">
        <v>60.697654020000002</v>
      </c>
      <c r="I32" s="34">
        <v>65.393428749999998</v>
      </c>
      <c r="J32" s="34">
        <v>58.801593459999999</v>
      </c>
      <c r="K32" s="34">
        <v>71.985264049999998</v>
      </c>
      <c r="L32" s="35"/>
      <c r="M32" s="33">
        <v>2000</v>
      </c>
      <c r="N32" s="34">
        <v>98.718080229999998</v>
      </c>
      <c r="O32" s="34">
        <v>105.76238619999999</v>
      </c>
      <c r="P32" s="34">
        <v>97.184252909999998</v>
      </c>
      <c r="Q32" s="34">
        <v>114.34051940000001</v>
      </c>
      <c r="R32" s="35"/>
      <c r="S32" s="33">
        <v>2014</v>
      </c>
      <c r="T32" s="34">
        <v>79.349308960000002</v>
      </c>
      <c r="U32" s="34">
        <v>77.062975289999997</v>
      </c>
      <c r="V32" s="34">
        <v>71.917920280000004</v>
      </c>
      <c r="W32" s="34">
        <v>82.208030300000004</v>
      </c>
      <c r="X32" s="35"/>
      <c r="Y32" s="36">
        <v>2014</v>
      </c>
      <c r="Z32" s="35" t="s">
        <v>58</v>
      </c>
      <c r="AA32" s="34">
        <v>66.003608240000005</v>
      </c>
      <c r="AB32" s="34">
        <v>68.796035610000004</v>
      </c>
      <c r="AC32" s="34">
        <v>63.312507140000001</v>
      </c>
      <c r="AD32" s="34">
        <v>74.27956408</v>
      </c>
      <c r="AE32" s="35"/>
      <c r="AF32" s="36">
        <v>2014</v>
      </c>
      <c r="AG32" s="34">
        <v>57.503564150000003</v>
      </c>
      <c r="AH32" s="34">
        <v>55.754168839999998</v>
      </c>
      <c r="AI32" s="34">
        <v>49.589770369999997</v>
      </c>
      <c r="AJ32" s="34">
        <v>61.918567320000001</v>
      </c>
      <c r="AK32" s="35"/>
      <c r="AL32" s="36">
        <v>2014</v>
      </c>
      <c r="AM32" s="35" t="s">
        <v>58</v>
      </c>
      <c r="AN32" s="34">
        <v>62.587088399999999</v>
      </c>
      <c r="AO32" s="34">
        <v>61.524214399999998</v>
      </c>
      <c r="AP32" s="34">
        <v>55.535650359999998</v>
      </c>
      <c r="AQ32" s="34">
        <v>67.512778440000005</v>
      </c>
      <c r="AR32" s="35"/>
    </row>
    <row r="33" spans="1:44" ht="13.5" customHeight="1" x14ac:dyDescent="0.2">
      <c r="A33" s="33">
        <v>2001</v>
      </c>
      <c r="B33" s="34">
        <v>80.748207719999996</v>
      </c>
      <c r="C33" s="34">
        <v>90.562739250000007</v>
      </c>
      <c r="D33" s="34">
        <v>86.545498390000006</v>
      </c>
      <c r="E33" s="34">
        <v>94.579980109999994</v>
      </c>
      <c r="F33" s="35"/>
      <c r="G33" s="33">
        <v>2001</v>
      </c>
      <c r="H33" s="34">
        <v>59.452744250000002</v>
      </c>
      <c r="I33" s="34">
        <v>64.649580479999997</v>
      </c>
      <c r="J33" s="34">
        <v>58.057745189999999</v>
      </c>
      <c r="K33" s="34">
        <v>71.241415779999997</v>
      </c>
      <c r="L33" s="35"/>
      <c r="M33" s="33">
        <v>2001</v>
      </c>
      <c r="N33" s="34">
        <v>89.618299930000006</v>
      </c>
      <c r="O33" s="34">
        <v>104.8164237</v>
      </c>
      <c r="P33" s="34">
        <v>96.238290500000005</v>
      </c>
      <c r="Q33" s="34">
        <v>113.39455700000001</v>
      </c>
      <c r="R33" s="35"/>
      <c r="S33" s="33">
        <v>2015</v>
      </c>
      <c r="T33" s="34">
        <v>73.205405209999995</v>
      </c>
      <c r="U33" s="34">
        <v>76.107265929999997</v>
      </c>
      <c r="V33" s="34">
        <v>70.713472670000002</v>
      </c>
      <c r="W33" s="34">
        <v>81.501059190000007</v>
      </c>
      <c r="X33" s="35"/>
      <c r="Y33" s="36">
        <v>2015</v>
      </c>
      <c r="Z33" s="35" t="s">
        <v>58</v>
      </c>
      <c r="AA33" s="34">
        <v>60.473858290000003</v>
      </c>
      <c r="AB33" s="34">
        <v>67.680272599999995</v>
      </c>
      <c r="AC33" s="34">
        <v>62.03384689</v>
      </c>
      <c r="AD33" s="34">
        <v>73.326698320000006</v>
      </c>
      <c r="AE33" s="35"/>
      <c r="AF33" s="36">
        <v>2015</v>
      </c>
      <c r="AG33" s="34">
        <v>53.296018199999999</v>
      </c>
      <c r="AH33" s="34">
        <v>54.955395330000002</v>
      </c>
      <c r="AI33" s="34">
        <v>48.793174319999999</v>
      </c>
      <c r="AJ33" s="34">
        <v>61.117616339999998</v>
      </c>
      <c r="AK33" s="35"/>
      <c r="AL33" s="36">
        <v>2015</v>
      </c>
      <c r="AM33" s="35" t="s">
        <v>58</v>
      </c>
      <c r="AN33" s="34">
        <v>55.015459970000002</v>
      </c>
      <c r="AO33" s="34">
        <v>59.920694109999999</v>
      </c>
      <c r="AP33" s="34">
        <v>53.64220366</v>
      </c>
      <c r="AQ33" s="34">
        <v>66.19918457</v>
      </c>
      <c r="AR33" s="35"/>
    </row>
    <row r="34" spans="1:44" ht="13.5" customHeight="1" x14ac:dyDescent="0.2">
      <c r="A34" s="33">
        <v>2002</v>
      </c>
      <c r="B34" s="34">
        <v>78.36694043</v>
      </c>
      <c r="C34" s="34">
        <v>90.18446514</v>
      </c>
      <c r="D34" s="34">
        <v>86.137685750000003</v>
      </c>
      <c r="E34" s="34">
        <v>94.231244540000006</v>
      </c>
      <c r="F34" s="35"/>
      <c r="G34" s="33">
        <v>2002</v>
      </c>
      <c r="H34" s="34">
        <v>53.600878260000002</v>
      </c>
      <c r="I34" s="34">
        <v>64.140167809999994</v>
      </c>
      <c r="J34" s="34">
        <v>57.548332510000002</v>
      </c>
      <c r="K34" s="34">
        <v>70.7320031</v>
      </c>
      <c r="L34" s="35"/>
      <c r="M34" s="33">
        <v>2002</v>
      </c>
      <c r="N34" s="34">
        <v>94.275034730000002</v>
      </c>
      <c r="O34" s="34">
        <v>103.85692830000001</v>
      </c>
      <c r="P34" s="34">
        <v>95.276142530000001</v>
      </c>
      <c r="Q34" s="34">
        <v>112.437714</v>
      </c>
      <c r="R34" s="35"/>
      <c r="S34" s="33">
        <v>2016</v>
      </c>
      <c r="T34" s="34">
        <v>57.483492820000002</v>
      </c>
      <c r="U34" s="34">
        <v>75.151556569999997</v>
      </c>
      <c r="V34" s="34">
        <v>69.487977979999997</v>
      </c>
      <c r="W34" s="34">
        <v>80.815135159999997</v>
      </c>
      <c r="X34" s="35"/>
      <c r="Y34" s="36">
        <v>2016</v>
      </c>
      <c r="Z34" s="35" t="s">
        <v>58</v>
      </c>
      <c r="AA34" s="34">
        <v>49.609823040000002</v>
      </c>
      <c r="AB34" s="34">
        <v>66.586326189999994</v>
      </c>
      <c r="AC34" s="34">
        <v>60.734242700000003</v>
      </c>
      <c r="AD34" s="34">
        <v>72.438409669999999</v>
      </c>
      <c r="AE34" s="35"/>
      <c r="AF34" s="36">
        <v>2016</v>
      </c>
      <c r="AG34" s="34">
        <v>39.966375429999999</v>
      </c>
      <c r="AH34" s="34">
        <v>54.164398480000003</v>
      </c>
      <c r="AI34" s="34">
        <v>47.993467610000003</v>
      </c>
      <c r="AJ34" s="34">
        <v>60.335329340000001</v>
      </c>
      <c r="AK34" s="35"/>
      <c r="AL34" s="36">
        <v>2016</v>
      </c>
      <c r="AM34" s="35" t="s">
        <v>58</v>
      </c>
      <c r="AN34" s="34">
        <v>44.003249439999998</v>
      </c>
      <c r="AO34" s="34">
        <v>58.317173830000002</v>
      </c>
      <c r="AP34" s="34">
        <v>51.72682975</v>
      </c>
      <c r="AQ34" s="34">
        <v>64.907517900000002</v>
      </c>
      <c r="AR34" s="35"/>
    </row>
    <row r="35" spans="1:44" ht="13.5" customHeight="1" x14ac:dyDescent="0.2">
      <c r="A35" s="33">
        <v>2003</v>
      </c>
      <c r="B35" s="34">
        <v>95.089571759999998</v>
      </c>
      <c r="C35" s="34">
        <v>89.807698099999996</v>
      </c>
      <c r="D35" s="34">
        <v>85.713657049999995</v>
      </c>
      <c r="E35" s="34">
        <v>93.901739160000005</v>
      </c>
      <c r="F35" s="35"/>
      <c r="G35" s="33">
        <v>2003</v>
      </c>
      <c r="H35" s="34">
        <v>65.943486620000002</v>
      </c>
      <c r="I35" s="34">
        <v>63.828174580000002</v>
      </c>
      <c r="J35" s="34">
        <v>57.236339280000003</v>
      </c>
      <c r="K35" s="34">
        <v>70.420009870000001</v>
      </c>
      <c r="L35" s="35"/>
      <c r="M35" s="33">
        <v>2003</v>
      </c>
      <c r="N35" s="34">
        <v>112.56327</v>
      </c>
      <c r="O35" s="34">
        <v>102.89337279999999</v>
      </c>
      <c r="P35" s="34">
        <v>94.309934639999994</v>
      </c>
      <c r="Q35" s="34">
        <v>111.47681110000001</v>
      </c>
      <c r="R35" s="35"/>
      <c r="S35" s="33">
        <v>2017</v>
      </c>
      <c r="T35" s="34">
        <v>68.162129320000005</v>
      </c>
      <c r="U35" s="34">
        <v>74.195847200000003</v>
      </c>
      <c r="V35" s="34">
        <v>68.245262940000003</v>
      </c>
      <c r="W35" s="34">
        <v>80.146431469999996</v>
      </c>
      <c r="X35" s="35"/>
      <c r="Y35" s="36">
        <v>2017</v>
      </c>
      <c r="Z35" s="35" t="s">
        <v>58</v>
      </c>
      <c r="AA35" s="34">
        <v>55.15281426</v>
      </c>
      <c r="AB35" s="34">
        <v>65.511079710000004</v>
      </c>
      <c r="AC35" s="34">
        <v>59.404469290000002</v>
      </c>
      <c r="AD35" s="34">
        <v>71.617690139999993</v>
      </c>
      <c r="AE35" s="35"/>
      <c r="AF35" s="36">
        <v>2017</v>
      </c>
      <c r="AG35" s="34">
        <v>47.064642450000001</v>
      </c>
      <c r="AH35" s="34">
        <v>53.37784542</v>
      </c>
      <c r="AI35" s="34">
        <v>47.169897679999998</v>
      </c>
      <c r="AJ35" s="34">
        <v>59.585793160000001</v>
      </c>
      <c r="AK35" s="35"/>
      <c r="AL35" s="36">
        <v>2017</v>
      </c>
      <c r="AM35" s="35" t="s">
        <v>58</v>
      </c>
      <c r="AN35" s="34">
        <v>42.509377800000003</v>
      </c>
      <c r="AO35" s="34">
        <v>56.714896580000001</v>
      </c>
      <c r="AP35" s="34">
        <v>49.790771679999999</v>
      </c>
      <c r="AQ35" s="34">
        <v>63.639021479999997</v>
      </c>
      <c r="AR35" s="35"/>
    </row>
    <row r="36" spans="1:44" ht="13.5" customHeight="1" x14ac:dyDescent="0.2">
      <c r="A36" s="33">
        <v>2004</v>
      </c>
      <c r="B36" s="34">
        <v>99.571005220000004</v>
      </c>
      <c r="C36" s="34">
        <v>89.429423999999997</v>
      </c>
      <c r="D36" s="34">
        <v>85.264490460000005</v>
      </c>
      <c r="E36" s="34">
        <v>93.594357540000004</v>
      </c>
      <c r="F36" s="35"/>
      <c r="G36" s="33">
        <v>2004</v>
      </c>
      <c r="H36" s="34">
        <v>71.149508740000002</v>
      </c>
      <c r="I36" s="34">
        <v>63.597264330000002</v>
      </c>
      <c r="J36" s="34">
        <v>57.005429030000002</v>
      </c>
      <c r="K36" s="34">
        <v>70.189099630000001</v>
      </c>
      <c r="L36" s="35"/>
      <c r="M36" s="33">
        <v>2004</v>
      </c>
      <c r="N36" s="34">
        <v>114.6559774</v>
      </c>
      <c r="O36" s="34">
        <v>101.93252409999999</v>
      </c>
      <c r="P36" s="34">
        <v>93.346433360000006</v>
      </c>
      <c r="Q36" s="34">
        <v>110.51861479999999</v>
      </c>
      <c r="R36" s="35"/>
      <c r="S36" s="33">
        <v>2018</v>
      </c>
      <c r="T36" s="34">
        <v>82.707167740000003</v>
      </c>
      <c r="U36" s="34">
        <v>73.240137840000003</v>
      </c>
      <c r="V36" s="34">
        <v>66.989154310000004</v>
      </c>
      <c r="W36" s="34">
        <v>79.491121370000002</v>
      </c>
      <c r="X36" s="35"/>
      <c r="Y36" s="36">
        <v>2018</v>
      </c>
      <c r="Z36" s="35" t="s">
        <v>58</v>
      </c>
      <c r="AA36" s="34">
        <v>66.9218099</v>
      </c>
      <c r="AB36" s="34">
        <v>64.451416519999995</v>
      </c>
      <c r="AC36" s="34">
        <v>58.039373759999997</v>
      </c>
      <c r="AD36" s="34">
        <v>70.863459280000001</v>
      </c>
      <c r="AE36" s="35"/>
      <c r="AF36" s="36">
        <v>2018</v>
      </c>
      <c r="AG36" s="34">
        <v>67.560796920000001</v>
      </c>
      <c r="AH36" s="34">
        <v>52.5612967</v>
      </c>
      <c r="AI36" s="34">
        <v>46.257540579999997</v>
      </c>
      <c r="AJ36" s="34">
        <v>58.865052830000003</v>
      </c>
      <c r="AK36" s="35"/>
      <c r="AL36" s="36">
        <v>2018</v>
      </c>
      <c r="AM36" s="35" t="s">
        <v>58</v>
      </c>
      <c r="AN36" s="34">
        <v>62.299526849999999</v>
      </c>
      <c r="AO36" s="34">
        <v>55.111376290000003</v>
      </c>
      <c r="AP36" s="34">
        <v>47.836416069999999</v>
      </c>
      <c r="AQ36" s="34">
        <v>62.38633652</v>
      </c>
      <c r="AR36" s="35"/>
    </row>
    <row r="37" spans="1:44" ht="13.5" customHeight="1" x14ac:dyDescent="0.2">
      <c r="A37" s="33">
        <v>2005</v>
      </c>
      <c r="B37" s="34">
        <v>91.2289952</v>
      </c>
      <c r="C37" s="34">
        <v>89.051149890000005</v>
      </c>
      <c r="D37" s="34">
        <v>84.800554599999998</v>
      </c>
      <c r="E37" s="34">
        <v>93.301745179999998</v>
      </c>
      <c r="F37" s="35"/>
      <c r="G37" s="33">
        <v>2005</v>
      </c>
      <c r="H37" s="34">
        <v>68.260883609999993</v>
      </c>
      <c r="I37" s="34">
        <v>63.346964679999999</v>
      </c>
      <c r="J37" s="34">
        <v>56.75512938</v>
      </c>
      <c r="K37" s="34">
        <v>69.938799970000005</v>
      </c>
      <c r="L37" s="35"/>
      <c r="M37" s="33">
        <v>2005</v>
      </c>
      <c r="N37" s="34">
        <v>99.40236127</v>
      </c>
      <c r="O37" s="34">
        <v>100.9852083</v>
      </c>
      <c r="P37" s="34">
        <v>92.396465160000005</v>
      </c>
      <c r="Q37" s="34">
        <v>109.57395150000001</v>
      </c>
      <c r="R37" s="35"/>
      <c r="S37" s="33">
        <v>2019</v>
      </c>
      <c r="T37" s="34">
        <v>89.855186290000006</v>
      </c>
      <c r="U37" s="34">
        <v>72.284428480000003</v>
      </c>
      <c r="V37" s="34">
        <v>65.717738710000006</v>
      </c>
      <c r="W37" s="34">
        <v>78.851118249999999</v>
      </c>
      <c r="X37" s="35"/>
      <c r="Y37" s="36">
        <v>2019</v>
      </c>
      <c r="Z37" s="35" t="s">
        <v>58</v>
      </c>
      <c r="AA37" s="34">
        <v>78.626270820000002</v>
      </c>
      <c r="AB37" s="34">
        <v>63.400064409999999</v>
      </c>
      <c r="AC37" s="34">
        <v>56.62557528</v>
      </c>
      <c r="AD37" s="34">
        <v>70.174553540000005</v>
      </c>
      <c r="AE37" s="35"/>
      <c r="AF37" s="36">
        <v>2019</v>
      </c>
      <c r="AG37" s="34">
        <v>61.19201631</v>
      </c>
      <c r="AH37" s="34">
        <v>51.669203340000003</v>
      </c>
      <c r="AI37" s="34">
        <v>45.160765670000004</v>
      </c>
      <c r="AJ37" s="34">
        <v>58.177641010000002</v>
      </c>
      <c r="AK37" s="35"/>
      <c r="AL37" s="36">
        <v>2019</v>
      </c>
      <c r="AM37" s="35" t="s">
        <v>58</v>
      </c>
      <c r="AN37" s="34">
        <v>61.728361360000001</v>
      </c>
      <c r="AO37" s="34">
        <v>53.507856009999998</v>
      </c>
      <c r="AP37" s="34">
        <v>45.867442320000002</v>
      </c>
      <c r="AQ37" s="34">
        <v>61.148269689999999</v>
      </c>
      <c r="AR37" s="35"/>
    </row>
    <row r="38" spans="1:44" ht="13.5" customHeight="1" x14ac:dyDescent="0.2">
      <c r="A38" s="33">
        <v>2006</v>
      </c>
      <c r="B38" s="34">
        <v>99.800540089999998</v>
      </c>
      <c r="C38" s="34">
        <v>88.674382859999994</v>
      </c>
      <c r="D38" s="34">
        <v>84.323356540000006</v>
      </c>
      <c r="E38" s="34">
        <v>93.025409170000003</v>
      </c>
      <c r="F38" s="35"/>
      <c r="G38" s="33">
        <v>2006</v>
      </c>
      <c r="H38" s="34">
        <v>80.755461949999997</v>
      </c>
      <c r="I38" s="34">
        <v>63.031446099999997</v>
      </c>
      <c r="J38" s="34">
        <v>56.439610799999997</v>
      </c>
      <c r="K38" s="34">
        <v>69.623281390000002</v>
      </c>
      <c r="L38" s="35"/>
      <c r="M38" s="33">
        <v>2006</v>
      </c>
      <c r="N38" s="34">
        <v>100.32212</v>
      </c>
      <c r="O38" s="34">
        <v>100.0663121</v>
      </c>
      <c r="P38" s="34">
        <v>91.477568919999996</v>
      </c>
      <c r="Q38" s="34">
        <v>108.6550553</v>
      </c>
      <c r="R38" s="35"/>
      <c r="S38" s="33">
        <v>2020</v>
      </c>
      <c r="T38" s="34">
        <v>86.804681689999995</v>
      </c>
      <c r="U38" s="34">
        <v>71.328719120000002</v>
      </c>
      <c r="V38" s="34">
        <v>64.436756250000002</v>
      </c>
      <c r="W38" s="34">
        <v>78.220681979999995</v>
      </c>
      <c r="X38" s="35"/>
      <c r="Y38" s="36">
        <v>2020</v>
      </c>
      <c r="Z38" s="35" t="s">
        <v>58</v>
      </c>
      <c r="AA38" s="34">
        <v>78.626270820000002</v>
      </c>
      <c r="AB38" s="34">
        <v>62.351828959999999</v>
      </c>
      <c r="AC38" s="34">
        <v>55.153807</v>
      </c>
      <c r="AD38" s="34">
        <v>69.549850919999997</v>
      </c>
      <c r="AE38" s="35"/>
      <c r="AF38" s="36">
        <v>2020</v>
      </c>
      <c r="AG38" s="34">
        <v>58.303518410000002</v>
      </c>
      <c r="AH38" s="34">
        <v>50.684901070000002</v>
      </c>
      <c r="AI38" s="34">
        <v>43.799762260000001</v>
      </c>
      <c r="AJ38" s="34">
        <v>57.570039880000003</v>
      </c>
      <c r="AK38" s="35"/>
      <c r="AL38" s="36">
        <v>2020</v>
      </c>
      <c r="AM38" s="35" t="s">
        <v>58</v>
      </c>
      <c r="AN38" s="34">
        <v>56.817843779999997</v>
      </c>
      <c r="AO38" s="34">
        <v>51.904335719999999</v>
      </c>
      <c r="AP38" s="34">
        <v>43.883850440000003</v>
      </c>
      <c r="AQ38" s="34">
        <v>59.924821000000001</v>
      </c>
      <c r="AR38" s="35"/>
    </row>
    <row r="39" spans="1:44" ht="13.5" customHeight="1" x14ac:dyDescent="0.2">
      <c r="A39" s="33">
        <v>2007</v>
      </c>
      <c r="B39" s="34">
        <v>68.727871109999995</v>
      </c>
      <c r="C39" s="34">
        <v>88.296108750000002</v>
      </c>
      <c r="D39" s="34">
        <v>83.826928289999998</v>
      </c>
      <c r="E39" s="34">
        <v>92.765289210000006</v>
      </c>
      <c r="F39" s="35"/>
      <c r="G39" s="33">
        <v>2007</v>
      </c>
      <c r="H39" s="34">
        <v>52.622551979999997</v>
      </c>
      <c r="I39" s="34">
        <v>62.647183249999998</v>
      </c>
      <c r="J39" s="34">
        <v>56.051893110000002</v>
      </c>
      <c r="K39" s="34">
        <v>69.242473380000007</v>
      </c>
      <c r="L39" s="35"/>
      <c r="M39" s="33">
        <v>2007</v>
      </c>
      <c r="N39" s="34">
        <v>73.349422869999998</v>
      </c>
      <c r="O39" s="34">
        <v>99.193428339999997</v>
      </c>
      <c r="P39" s="34">
        <v>90.604685149999995</v>
      </c>
      <c r="Q39" s="34">
        <v>107.7821715</v>
      </c>
      <c r="R39" s="35"/>
      <c r="S39" s="33">
        <v>2021</v>
      </c>
      <c r="T39" s="34">
        <v>77.364753989999997</v>
      </c>
      <c r="U39" s="34">
        <v>70.373009749999994</v>
      </c>
      <c r="V39" s="34">
        <v>63.146206939999999</v>
      </c>
      <c r="W39" s="34">
        <v>77.599812569999997</v>
      </c>
      <c r="X39" s="35"/>
      <c r="Y39" s="36">
        <v>2021</v>
      </c>
      <c r="Z39" s="35" t="s">
        <v>58</v>
      </c>
      <c r="AA39" s="34">
        <v>72.20506743</v>
      </c>
      <c r="AB39" s="34">
        <v>61.302554620000002</v>
      </c>
      <c r="AC39" s="34">
        <v>53.621949569999998</v>
      </c>
      <c r="AD39" s="34">
        <v>68.983159670000006</v>
      </c>
      <c r="AE39" s="35"/>
      <c r="AF39" s="36">
        <v>2021</v>
      </c>
      <c r="AG39" s="34">
        <v>48.271941179999999</v>
      </c>
      <c r="AH39" s="34">
        <v>49.6172775</v>
      </c>
      <c r="AI39" s="34">
        <v>42.118094050000003</v>
      </c>
      <c r="AJ39" s="34">
        <v>57.116460959999998</v>
      </c>
      <c r="AK39" s="35"/>
      <c r="AL39" s="36">
        <v>2021</v>
      </c>
      <c r="AM39" s="35" t="s">
        <v>58</v>
      </c>
      <c r="AN39" s="34">
        <v>60.881416489999999</v>
      </c>
      <c r="AO39" s="34">
        <v>50.302058469999999</v>
      </c>
      <c r="AP39" s="34">
        <v>41.891756170000001</v>
      </c>
      <c r="AQ39" s="34">
        <v>58.712360779999997</v>
      </c>
      <c r="AR39" s="35"/>
    </row>
    <row r="40" spans="1:44" ht="18" customHeight="1" x14ac:dyDescent="0.2">
      <c r="A40" s="33">
        <v>2008</v>
      </c>
      <c r="B40" s="34">
        <v>63.993062049999999</v>
      </c>
      <c r="C40" s="34">
        <v>87.919341709999998</v>
      </c>
      <c r="D40" s="34">
        <v>83.317237849999998</v>
      </c>
      <c r="E40" s="34">
        <v>92.521445580000005</v>
      </c>
      <c r="F40" s="35"/>
      <c r="G40" s="33">
        <v>2008</v>
      </c>
      <c r="H40" s="34">
        <v>46.57704219</v>
      </c>
      <c r="I40" s="34">
        <v>62.31932595</v>
      </c>
      <c r="J40" s="34">
        <v>55.720580980000001</v>
      </c>
      <c r="K40" s="34">
        <v>68.918070929999999</v>
      </c>
      <c r="L40" s="35"/>
      <c r="M40" s="33">
        <v>2008</v>
      </c>
      <c r="N40" s="34">
        <v>71.845025140000004</v>
      </c>
      <c r="O40" s="34">
        <v>98.381443439999998</v>
      </c>
      <c r="P40" s="34">
        <v>89.795352739999998</v>
      </c>
      <c r="Q40" s="34">
        <v>106.96753409999999</v>
      </c>
      <c r="R40" s="35"/>
      <c r="S40" s="33">
        <v>2022</v>
      </c>
      <c r="T40" s="34">
        <v>75.778001759999995</v>
      </c>
      <c r="U40" s="34">
        <v>69.417300389999994</v>
      </c>
      <c r="V40" s="34">
        <v>61.84800414</v>
      </c>
      <c r="W40" s="34">
        <v>76.986596640000002</v>
      </c>
      <c r="X40" s="35"/>
      <c r="Y40" s="36">
        <v>2022</v>
      </c>
      <c r="Z40" s="35" t="s">
        <v>58</v>
      </c>
      <c r="AA40" s="34">
        <v>74.057266499999997</v>
      </c>
      <c r="AB40" s="34">
        <v>60.251202509999999</v>
      </c>
      <c r="AC40" s="34">
        <v>52.026927909999998</v>
      </c>
      <c r="AD40" s="34">
        <v>68.47547711</v>
      </c>
      <c r="AE40" s="35"/>
      <c r="AF40" s="36">
        <v>2022</v>
      </c>
      <c r="AG40" s="34">
        <v>45.88753869</v>
      </c>
      <c r="AH40" s="34">
        <v>48.486329750000003</v>
      </c>
      <c r="AI40" s="34">
        <v>40.08349905</v>
      </c>
      <c r="AJ40" s="34">
        <v>56.889160449999999</v>
      </c>
      <c r="AK40" s="35"/>
      <c r="AL40" s="36">
        <v>2022</v>
      </c>
      <c r="AM40" s="35" t="s">
        <v>58</v>
      </c>
      <c r="AN40" s="34">
        <v>44.308265390000003</v>
      </c>
      <c r="AO40" s="34">
        <v>48.698538190000001</v>
      </c>
      <c r="AP40" s="34">
        <v>39.888673429999997</v>
      </c>
      <c r="AQ40" s="34">
        <v>57.508402940000003</v>
      </c>
      <c r="AR40" s="35"/>
    </row>
    <row r="41" spans="1:44" ht="18" customHeight="1" x14ac:dyDescent="0.2">
      <c r="A41" s="33">
        <v>2009</v>
      </c>
      <c r="B41" s="34">
        <v>84.944035900000003</v>
      </c>
      <c r="C41" s="34">
        <v>87.541067609999999</v>
      </c>
      <c r="D41" s="34">
        <v>82.79127106</v>
      </c>
      <c r="E41" s="34">
        <v>92.290864150000004</v>
      </c>
      <c r="F41" s="35"/>
      <c r="G41" s="33">
        <v>2009</v>
      </c>
      <c r="H41" s="34">
        <v>59.452744250000002</v>
      </c>
      <c r="I41" s="34">
        <v>62.100754420000001</v>
      </c>
      <c r="J41" s="34">
        <v>55.495099770000003</v>
      </c>
      <c r="K41" s="34">
        <v>68.70640908</v>
      </c>
      <c r="L41" s="35"/>
      <c r="M41" s="33">
        <v>2009</v>
      </c>
      <c r="N41" s="34">
        <v>99.861181729999998</v>
      </c>
      <c r="O41" s="34">
        <v>97.634417330000005</v>
      </c>
      <c r="P41" s="34">
        <v>89.050979119999994</v>
      </c>
      <c r="Q41" s="34">
        <v>106.2178555</v>
      </c>
      <c r="R41" s="35"/>
      <c r="S41" s="33">
        <v>2023</v>
      </c>
      <c r="T41" s="34">
        <v>80.638631509999996</v>
      </c>
      <c r="U41" s="34">
        <v>68.461591029999994</v>
      </c>
      <c r="V41" s="34">
        <v>60.54214786</v>
      </c>
      <c r="W41" s="34">
        <v>76.381034200000002</v>
      </c>
      <c r="X41" s="35"/>
      <c r="Y41" s="36">
        <v>2023</v>
      </c>
      <c r="Z41" s="35" t="s">
        <v>58</v>
      </c>
      <c r="AA41" s="34">
        <v>68.955304069999997</v>
      </c>
      <c r="AB41" s="34">
        <v>59.195694860000003</v>
      </c>
      <c r="AC41" s="34">
        <v>50.368700459999999</v>
      </c>
      <c r="AD41" s="34">
        <v>68.022689260000007</v>
      </c>
      <c r="AE41" s="35"/>
      <c r="AF41" s="36">
        <v>2023</v>
      </c>
      <c r="AG41" s="34">
        <v>53.173440759999998</v>
      </c>
      <c r="AH41" s="34">
        <v>47.314276829999997</v>
      </c>
      <c r="AI41" s="34">
        <v>37.685534310000001</v>
      </c>
      <c r="AJ41" s="34">
        <v>56.943019339999999</v>
      </c>
      <c r="AK41" s="35"/>
      <c r="AL41" s="36">
        <v>2023</v>
      </c>
      <c r="AM41" s="35" t="s">
        <v>58</v>
      </c>
      <c r="AN41" s="34">
        <v>48.695042399999998</v>
      </c>
      <c r="AO41" s="34">
        <v>47.095017900000002</v>
      </c>
      <c r="AP41" s="34">
        <v>37.878281620000003</v>
      </c>
      <c r="AQ41" s="34">
        <v>56.311754180000001</v>
      </c>
      <c r="AR41" s="35"/>
    </row>
    <row r="42" spans="1:44" ht="17.45" customHeight="1" x14ac:dyDescent="0.2">
      <c r="A42" s="33">
        <v>2010</v>
      </c>
      <c r="B42" s="34">
        <v>100.03060410000001</v>
      </c>
      <c r="C42" s="34">
        <v>87.164300569999995</v>
      </c>
      <c r="D42" s="34">
        <v>82.257949780000004</v>
      </c>
      <c r="E42" s="34">
        <v>92.070651350000006</v>
      </c>
      <c r="F42" s="35"/>
      <c r="G42" s="33">
        <v>2010</v>
      </c>
      <c r="H42" s="34">
        <v>77.476841190000002</v>
      </c>
      <c r="I42" s="34">
        <v>61.922724389999999</v>
      </c>
      <c r="J42" s="34">
        <v>55.306705209999997</v>
      </c>
      <c r="K42" s="34">
        <v>68.538743569999994</v>
      </c>
      <c r="L42" s="35"/>
      <c r="M42" s="33">
        <v>2010</v>
      </c>
      <c r="N42" s="34">
        <v>105.05015589999999</v>
      </c>
      <c r="O42" s="34">
        <v>96.946936789999995</v>
      </c>
      <c r="P42" s="34">
        <v>88.368803540000002</v>
      </c>
      <c r="Q42" s="34">
        <v>105.52507</v>
      </c>
      <c r="R42" s="35"/>
      <c r="S42" s="33">
        <v>2024</v>
      </c>
      <c r="T42" s="37">
        <v>47.048214770000001</v>
      </c>
      <c r="U42" s="37">
        <v>67.50588166</v>
      </c>
      <c r="V42" s="37">
        <v>59.228638089999997</v>
      </c>
      <c r="W42" s="37">
        <v>75.783125240000004</v>
      </c>
      <c r="Y42" s="38">
        <v>2024</v>
      </c>
      <c r="Z42" s="35" t="s">
        <v>58</v>
      </c>
      <c r="AA42" s="34">
        <v>39.497324489999997</v>
      </c>
      <c r="AB42" s="34">
        <v>58.139148319999997</v>
      </c>
      <c r="AC42" s="34">
        <v>48.650383869999999</v>
      </c>
      <c r="AD42" s="34">
        <v>67.627912780000003</v>
      </c>
      <c r="AE42" s="35"/>
      <c r="AF42" s="39">
        <v>2024</v>
      </c>
      <c r="AG42" s="37">
        <v>33.705033540000002</v>
      </c>
      <c r="AH42" s="37">
        <v>46.11556109</v>
      </c>
      <c r="AI42" s="37">
        <v>34.938642199999997</v>
      </c>
      <c r="AJ42" s="37">
        <v>57.292479980000003</v>
      </c>
      <c r="AL42" s="46">
        <v>2024</v>
      </c>
      <c r="AM42" s="35" t="s">
        <v>58</v>
      </c>
      <c r="AN42" s="34">
        <v>36.432145550000001</v>
      </c>
      <c r="AO42" s="34">
        <v>45.492740650000002</v>
      </c>
      <c r="AP42" s="34">
        <v>35.861823790000003</v>
      </c>
      <c r="AQ42" s="34">
        <v>55.123657520000002</v>
      </c>
      <c r="AR42" s="35"/>
    </row>
    <row r="43" spans="1:44" x14ac:dyDescent="0.2">
      <c r="A43" s="33">
        <v>2011</v>
      </c>
      <c r="B43" s="34">
        <v>95.308775870000005</v>
      </c>
      <c r="C43" s="34">
        <v>86.786026460000002</v>
      </c>
      <c r="D43" s="34">
        <v>81.711306030000003</v>
      </c>
      <c r="E43" s="34">
        <v>91.860746899999995</v>
      </c>
      <c r="F43" s="35"/>
      <c r="G43" s="33">
        <v>2011</v>
      </c>
      <c r="H43" s="34">
        <v>76.943494369999996</v>
      </c>
      <c r="I43" s="34">
        <v>61.700627509999997</v>
      </c>
      <c r="J43" s="34">
        <v>55.070788970000002</v>
      </c>
      <c r="K43" s="34">
        <v>68.330466049999998</v>
      </c>
      <c r="L43" s="35"/>
      <c r="M43" s="33">
        <v>2011</v>
      </c>
      <c r="N43" s="34">
        <v>95.806880809999996</v>
      </c>
      <c r="O43" s="34">
        <v>96.310881949999995</v>
      </c>
      <c r="P43" s="34">
        <v>87.730096219999993</v>
      </c>
      <c r="Q43" s="34">
        <v>104.8916677</v>
      </c>
      <c r="R43" s="35"/>
      <c r="Y43" s="36">
        <v>1990</v>
      </c>
      <c r="Z43" s="35" t="s">
        <v>59</v>
      </c>
      <c r="AA43" s="34">
        <v>91.129458510000006</v>
      </c>
      <c r="AB43" s="34">
        <v>100</v>
      </c>
      <c r="AC43" s="34">
        <v>90.756739019999998</v>
      </c>
      <c r="AD43" s="34">
        <v>109.243261</v>
      </c>
      <c r="AE43" s="35"/>
      <c r="AL43" s="36">
        <v>1990</v>
      </c>
      <c r="AM43" s="35" t="s">
        <v>59</v>
      </c>
      <c r="AN43" s="34">
        <v>106.82505260000001</v>
      </c>
      <c r="AO43" s="34">
        <v>100</v>
      </c>
      <c r="AP43" s="34">
        <v>87.992223139999993</v>
      </c>
      <c r="AQ43" s="34">
        <v>112.0077769</v>
      </c>
      <c r="AR43" s="35"/>
    </row>
    <row r="44" spans="1:44" x14ac:dyDescent="0.2">
      <c r="A44" s="33">
        <v>2012</v>
      </c>
      <c r="B44" s="34">
        <v>55.607438670000001</v>
      </c>
      <c r="C44" s="34">
        <v>86.409259430000006</v>
      </c>
      <c r="D44" s="34">
        <v>81.154353920000005</v>
      </c>
      <c r="E44" s="34">
        <v>91.664164929999998</v>
      </c>
      <c r="F44" s="35"/>
      <c r="G44" s="33">
        <v>2012</v>
      </c>
      <c r="H44" s="34">
        <v>41.321103000000001</v>
      </c>
      <c r="I44" s="34">
        <v>61.460903899999998</v>
      </c>
      <c r="J44" s="34">
        <v>54.810336319999998</v>
      </c>
      <c r="K44" s="34">
        <v>68.111471480000006</v>
      </c>
      <c r="L44" s="35"/>
      <c r="M44" s="33">
        <v>2012</v>
      </c>
      <c r="N44" s="34">
        <v>61.150033749999999</v>
      </c>
      <c r="O44" s="34">
        <v>95.726252830000007</v>
      </c>
      <c r="P44" s="34">
        <v>87.132204669999993</v>
      </c>
      <c r="Q44" s="34">
        <v>104.320301</v>
      </c>
      <c r="R44" s="35"/>
      <c r="Y44" s="36">
        <v>1991</v>
      </c>
      <c r="Z44" s="35" t="s">
        <v>59</v>
      </c>
      <c r="AA44" s="34">
        <v>113.1511024</v>
      </c>
      <c r="AB44" s="34">
        <v>99.374851910000004</v>
      </c>
      <c r="AC44" s="34">
        <v>90.529899580000006</v>
      </c>
      <c r="AD44" s="34">
        <v>108.21980430000001</v>
      </c>
      <c r="AE44" s="35"/>
      <c r="AL44" s="36">
        <v>1991</v>
      </c>
      <c r="AM44" s="35" t="s">
        <v>59</v>
      </c>
      <c r="AN44" s="34">
        <v>98.553741239999994</v>
      </c>
      <c r="AO44" s="34">
        <v>96.299580180000007</v>
      </c>
      <c r="AP44" s="34">
        <v>86.058946059999997</v>
      </c>
      <c r="AQ44" s="34">
        <v>106.5402143</v>
      </c>
      <c r="AR44" s="35"/>
    </row>
    <row r="45" spans="1:44" x14ac:dyDescent="0.2">
      <c r="A45" s="33">
        <v>2013</v>
      </c>
      <c r="B45" s="34">
        <v>90.184705530000002</v>
      </c>
      <c r="C45" s="34">
        <v>86.030985319999999</v>
      </c>
      <c r="D45" s="34">
        <v>80.589987039999997</v>
      </c>
      <c r="E45" s="34">
        <v>91.471983600000002</v>
      </c>
      <c r="F45" s="35"/>
      <c r="G45" s="33">
        <v>2013</v>
      </c>
      <c r="H45" s="34">
        <v>60.977821659999996</v>
      </c>
      <c r="I45" s="34">
        <v>61.349855460000001</v>
      </c>
      <c r="J45" s="34">
        <v>54.675103999999997</v>
      </c>
      <c r="K45" s="34">
        <v>68.024606919999997</v>
      </c>
      <c r="L45" s="35"/>
      <c r="M45" s="33">
        <v>2013</v>
      </c>
      <c r="N45" s="34">
        <v>109.7480218</v>
      </c>
      <c r="O45" s="34">
        <v>95.187636179999998</v>
      </c>
      <c r="P45" s="34">
        <v>86.561758220000002</v>
      </c>
      <c r="Q45" s="34">
        <v>103.81351410000001</v>
      </c>
      <c r="R45" s="35"/>
      <c r="Y45" s="36">
        <v>1992</v>
      </c>
      <c r="Z45" s="35" t="s">
        <v>59</v>
      </c>
      <c r="AA45" s="34">
        <v>116.0536462</v>
      </c>
      <c r="AB45" s="34">
        <v>98.749703830000001</v>
      </c>
      <c r="AC45" s="34">
        <v>90.297701720000006</v>
      </c>
      <c r="AD45" s="34">
        <v>107.20170589999999</v>
      </c>
      <c r="AE45" s="35"/>
      <c r="AL45" s="36">
        <v>1992</v>
      </c>
      <c r="AM45" s="35" t="s">
        <v>59</v>
      </c>
      <c r="AN45" s="34">
        <v>118.487658</v>
      </c>
      <c r="AO45" s="34">
        <v>92.619457120000007</v>
      </c>
      <c r="AP45" s="34">
        <v>83.737680400000002</v>
      </c>
      <c r="AQ45" s="34">
        <v>101.50123379999999</v>
      </c>
      <c r="AR45" s="35"/>
    </row>
    <row r="46" spans="1:44" x14ac:dyDescent="0.2">
      <c r="A46" s="33">
        <v>2014</v>
      </c>
      <c r="B46" s="34">
        <v>91.2289952</v>
      </c>
      <c r="C46" s="34">
        <v>85.654218279999995</v>
      </c>
      <c r="D46" s="34">
        <v>80.018265670000005</v>
      </c>
      <c r="E46" s="34">
        <v>91.290170900000007</v>
      </c>
      <c r="F46" s="35"/>
      <c r="G46" s="33">
        <v>2014</v>
      </c>
      <c r="H46" s="34">
        <v>67.014982079999996</v>
      </c>
      <c r="I46" s="34">
        <v>61.360431499999997</v>
      </c>
      <c r="J46" s="34">
        <v>54.664951000000002</v>
      </c>
      <c r="K46" s="34">
        <v>68.05591201</v>
      </c>
      <c r="L46" s="35"/>
      <c r="M46" s="33">
        <v>2014</v>
      </c>
      <c r="N46" s="34">
        <v>101.7177397</v>
      </c>
      <c r="O46" s="34">
        <v>94.680145620000005</v>
      </c>
      <c r="P46" s="34">
        <v>85.987955560000003</v>
      </c>
      <c r="Q46" s="34">
        <v>103.37233569999999</v>
      </c>
      <c r="R46" s="35"/>
      <c r="Y46" s="36">
        <v>1993</v>
      </c>
      <c r="Z46" s="35" t="s">
        <v>59</v>
      </c>
      <c r="AA46" s="34">
        <v>72.72082374</v>
      </c>
      <c r="AB46" s="34">
        <v>98.124555740000005</v>
      </c>
      <c r="AC46" s="34">
        <v>90.05478703</v>
      </c>
      <c r="AD46" s="34">
        <v>106.19432449999999</v>
      </c>
      <c r="AE46" s="35"/>
      <c r="AL46" s="36">
        <v>1993</v>
      </c>
      <c r="AM46" s="35" t="s">
        <v>59</v>
      </c>
      <c r="AN46" s="34">
        <v>60.349422060000002</v>
      </c>
      <c r="AO46" s="34">
        <v>88.985268829999995</v>
      </c>
      <c r="AP46" s="34">
        <v>81.066626790000001</v>
      </c>
      <c r="AQ46" s="34">
        <v>96.903910870000004</v>
      </c>
      <c r="AR46" s="35"/>
    </row>
    <row r="47" spans="1:44" x14ac:dyDescent="0.2">
      <c r="A47" s="33">
        <v>2015</v>
      </c>
      <c r="B47" s="34">
        <v>81.871527189999995</v>
      </c>
      <c r="C47" s="34">
        <v>85.275944179999996</v>
      </c>
      <c r="D47" s="34">
        <v>79.436175660000004</v>
      </c>
      <c r="E47" s="34">
        <v>91.115712689999995</v>
      </c>
      <c r="F47" s="35"/>
      <c r="G47" s="33">
        <v>2015</v>
      </c>
      <c r="H47" s="34">
        <v>57.699480870000002</v>
      </c>
      <c r="I47" s="34">
        <v>61.485581330000002</v>
      </c>
      <c r="J47" s="34">
        <v>54.76937178</v>
      </c>
      <c r="K47" s="34">
        <v>68.201790880000004</v>
      </c>
      <c r="L47" s="35"/>
      <c r="M47" s="33">
        <v>2015</v>
      </c>
      <c r="N47" s="34">
        <v>95.366688179999997</v>
      </c>
      <c r="O47" s="34">
        <v>94.191601370000001</v>
      </c>
      <c r="P47" s="34">
        <v>85.382702019999996</v>
      </c>
      <c r="Q47" s="34">
        <v>103.0005007</v>
      </c>
      <c r="R47" s="35"/>
      <c r="Y47" s="36">
        <v>1994</v>
      </c>
      <c r="Z47" s="35" t="s">
        <v>59</v>
      </c>
      <c r="AA47" s="34">
        <v>84.461499930000002</v>
      </c>
      <c r="AB47" s="34">
        <v>97.499407660000003</v>
      </c>
      <c r="AC47" s="34">
        <v>89.804727799999995</v>
      </c>
      <c r="AD47" s="34">
        <v>105.19408749999999</v>
      </c>
      <c r="AE47" s="35"/>
      <c r="AL47" s="36">
        <v>1994</v>
      </c>
      <c r="AM47" s="35" t="s">
        <v>59</v>
      </c>
      <c r="AN47" s="34">
        <v>65.263913950000003</v>
      </c>
      <c r="AO47" s="34">
        <v>85.49956736</v>
      </c>
      <c r="AP47" s="34">
        <v>78.198587770000003</v>
      </c>
      <c r="AQ47" s="34">
        <v>92.800546940000004</v>
      </c>
      <c r="AR47" s="35"/>
    </row>
    <row r="48" spans="1:44" x14ac:dyDescent="0.2">
      <c r="A48" s="33">
        <v>2016</v>
      </c>
      <c r="B48" s="34">
        <v>64.73406679</v>
      </c>
      <c r="C48" s="34">
        <v>84.899177140000006</v>
      </c>
      <c r="D48" s="34">
        <v>78.849685019999995</v>
      </c>
      <c r="E48" s="34">
        <v>90.948669260000003</v>
      </c>
      <c r="F48" s="35"/>
      <c r="G48" s="33">
        <v>2016</v>
      </c>
      <c r="H48" s="34">
        <v>46.899898819999997</v>
      </c>
      <c r="I48" s="34">
        <v>61.753507720000002</v>
      </c>
      <c r="J48" s="34">
        <v>55.026933649999997</v>
      </c>
      <c r="K48" s="34">
        <v>68.48008179</v>
      </c>
      <c r="L48" s="35"/>
      <c r="M48" s="33">
        <v>2016</v>
      </c>
      <c r="N48" s="34">
        <v>73.180723880000002</v>
      </c>
      <c r="O48" s="34">
        <v>93.712530279999996</v>
      </c>
      <c r="P48" s="34">
        <v>84.712652079999998</v>
      </c>
      <c r="Q48" s="34">
        <v>102.7124085</v>
      </c>
      <c r="R48" s="35"/>
      <c r="Y48" s="36">
        <v>1995</v>
      </c>
      <c r="Z48" s="35" t="s">
        <v>59</v>
      </c>
      <c r="AA48" s="34">
        <v>99.005378789999995</v>
      </c>
      <c r="AB48" s="34">
        <v>96.874259570000007</v>
      </c>
      <c r="AC48" s="34">
        <v>89.542165600000004</v>
      </c>
      <c r="AD48" s="34">
        <v>104.20635350000001</v>
      </c>
      <c r="AE48" s="35"/>
      <c r="AL48" s="36">
        <v>1995</v>
      </c>
      <c r="AM48" s="35" t="s">
        <v>59</v>
      </c>
      <c r="AN48" s="34">
        <v>93.040731320000006</v>
      </c>
      <c r="AO48" s="34">
        <v>82.181581219999998</v>
      </c>
      <c r="AP48" s="34">
        <v>75.232355170000005</v>
      </c>
      <c r="AQ48" s="34">
        <v>89.130807279999999</v>
      </c>
      <c r="AR48" s="35"/>
    </row>
    <row r="49" spans="1:44" x14ac:dyDescent="0.2">
      <c r="A49" s="33">
        <v>2017</v>
      </c>
      <c r="B49" s="34">
        <v>76.583091080000003</v>
      </c>
      <c r="C49" s="34">
        <v>84.520903039999993</v>
      </c>
      <c r="D49" s="34">
        <v>78.255779610000005</v>
      </c>
      <c r="E49" s="34">
        <v>90.786026460000002</v>
      </c>
      <c r="F49" s="35"/>
      <c r="G49" s="33">
        <v>2017</v>
      </c>
      <c r="H49" s="34">
        <v>52.140105519999999</v>
      </c>
      <c r="I49" s="34">
        <v>62.173024040000001</v>
      </c>
      <c r="J49" s="34">
        <v>55.442995140000001</v>
      </c>
      <c r="K49" s="34">
        <v>68.903052950000003</v>
      </c>
      <c r="L49" s="35"/>
      <c r="M49" s="33">
        <v>2017</v>
      </c>
      <c r="N49" s="34">
        <v>92.767681170000003</v>
      </c>
      <c r="O49" s="34">
        <v>93.237519120000002</v>
      </c>
      <c r="P49" s="34">
        <v>83.945867669999998</v>
      </c>
      <c r="Q49" s="34">
        <v>102.5291706</v>
      </c>
      <c r="R49" s="35"/>
      <c r="Y49" s="36">
        <v>1996</v>
      </c>
      <c r="Z49" s="35" t="s">
        <v>59</v>
      </c>
      <c r="AA49" s="34">
        <v>111.0858621</v>
      </c>
      <c r="AB49" s="34">
        <v>96.249111490000004</v>
      </c>
      <c r="AC49" s="34">
        <v>89.26888658</v>
      </c>
      <c r="AD49" s="34">
        <v>103.22933639999999</v>
      </c>
      <c r="AE49" s="35"/>
      <c r="AL49" s="36">
        <v>1996</v>
      </c>
      <c r="AM49" s="35" t="s">
        <v>59</v>
      </c>
      <c r="AN49" s="34">
        <v>92.826743579999999</v>
      </c>
      <c r="AO49" s="34">
        <v>78.989648650000007</v>
      </c>
      <c r="AP49" s="34">
        <v>72.2142056</v>
      </c>
      <c r="AQ49" s="34">
        <v>85.765091709999993</v>
      </c>
      <c r="AR49" s="35"/>
    </row>
    <row r="50" spans="1:44" x14ac:dyDescent="0.2">
      <c r="A50" s="33">
        <v>2018</v>
      </c>
      <c r="B50" s="34">
        <v>102.12519330000001</v>
      </c>
      <c r="C50" s="34">
        <v>84.144136000000003</v>
      </c>
      <c r="D50" s="34">
        <v>77.660427400000003</v>
      </c>
      <c r="E50" s="34">
        <v>90.627844589999995</v>
      </c>
      <c r="F50" s="35"/>
      <c r="G50" s="33">
        <v>2018</v>
      </c>
      <c r="H50" s="34">
        <v>72.139296999999999</v>
      </c>
      <c r="I50" s="34">
        <v>62.633081859999997</v>
      </c>
      <c r="J50" s="34">
        <v>55.899598109999999</v>
      </c>
      <c r="K50" s="34">
        <v>69.366565609999995</v>
      </c>
      <c r="L50" s="35"/>
      <c r="M50" s="33">
        <v>2018</v>
      </c>
      <c r="N50" s="34">
        <v>118.9588346</v>
      </c>
      <c r="O50" s="34">
        <v>92.747621559999999</v>
      </c>
      <c r="P50" s="34">
        <v>83.039530130000003</v>
      </c>
      <c r="Q50" s="34">
        <v>102.455713</v>
      </c>
      <c r="R50" s="35"/>
      <c r="Y50" s="36">
        <v>1997</v>
      </c>
      <c r="Z50" s="35" t="s">
        <v>59</v>
      </c>
      <c r="AA50" s="34">
        <v>125.7936706</v>
      </c>
      <c r="AB50" s="34">
        <v>95.623963399999994</v>
      </c>
      <c r="AC50" s="34">
        <v>88.979532320000004</v>
      </c>
      <c r="AD50" s="34">
        <v>102.2683945</v>
      </c>
      <c r="AE50" s="35"/>
      <c r="AL50" s="36">
        <v>1997</v>
      </c>
      <c r="AM50" s="35" t="s">
        <v>59</v>
      </c>
      <c r="AN50" s="34">
        <v>95.427405300000004</v>
      </c>
      <c r="AO50" s="34">
        <v>75.915223639999994</v>
      </c>
      <c r="AP50" s="34">
        <v>69.208875030000002</v>
      </c>
      <c r="AQ50" s="34">
        <v>82.62157225</v>
      </c>
      <c r="AR50" s="35"/>
    </row>
    <row r="51" spans="1:44" x14ac:dyDescent="0.2">
      <c r="A51" s="33">
        <v>2019</v>
      </c>
      <c r="B51" s="34">
        <v>100.03060410000001</v>
      </c>
      <c r="C51" s="34">
        <v>83.765861889999996</v>
      </c>
      <c r="D51" s="34">
        <v>77.057660429999999</v>
      </c>
      <c r="E51" s="34">
        <v>90.474063360000002</v>
      </c>
      <c r="F51" s="35"/>
      <c r="G51" s="33">
        <v>2019</v>
      </c>
      <c r="H51" s="34">
        <v>73.649856630000002</v>
      </c>
      <c r="I51" s="34">
        <v>62.953888460000002</v>
      </c>
      <c r="J51" s="34">
        <v>56.175491790000002</v>
      </c>
      <c r="K51" s="34">
        <v>69.732285129999994</v>
      </c>
      <c r="L51" s="35"/>
      <c r="M51" s="33">
        <v>2019</v>
      </c>
      <c r="N51" s="34">
        <v>111.018844</v>
      </c>
      <c r="O51" s="34">
        <v>92.227951230000002</v>
      </c>
      <c r="P51" s="34">
        <v>81.952228219999995</v>
      </c>
      <c r="Q51" s="34">
        <v>102.50367420000001</v>
      </c>
      <c r="R51" s="35"/>
      <c r="Y51" s="36">
        <v>1998</v>
      </c>
      <c r="Z51" s="35" t="s">
        <v>59</v>
      </c>
      <c r="AA51" s="34">
        <v>95.644233209999996</v>
      </c>
      <c r="AB51" s="34">
        <v>94.998815320000006</v>
      </c>
      <c r="AC51" s="34">
        <v>88.674102829999995</v>
      </c>
      <c r="AD51" s="34">
        <v>101.32352779999999</v>
      </c>
      <c r="AE51" s="35"/>
      <c r="AL51" s="36">
        <v>1998</v>
      </c>
      <c r="AM51" s="35" t="s">
        <v>59</v>
      </c>
      <c r="AN51" s="34">
        <v>62.183206859999999</v>
      </c>
      <c r="AO51" s="34">
        <v>72.9903537</v>
      </c>
      <c r="AP51" s="34">
        <v>66.302849019999996</v>
      </c>
      <c r="AQ51" s="34">
        <v>79.677858369999996</v>
      </c>
      <c r="AR51" s="35"/>
    </row>
    <row r="52" spans="1:44" x14ac:dyDescent="0.2">
      <c r="A52" s="33">
        <v>2020</v>
      </c>
      <c r="B52" s="34">
        <v>94.652674869999998</v>
      </c>
      <c r="C52" s="34">
        <v>83.389094850000006</v>
      </c>
      <c r="D52" s="34">
        <v>76.45049281</v>
      </c>
      <c r="E52" s="34">
        <v>90.327696900000007</v>
      </c>
      <c r="F52" s="35"/>
      <c r="G52" s="33">
        <v>2020</v>
      </c>
      <c r="H52" s="34">
        <v>68.892493790000003</v>
      </c>
      <c r="I52" s="34">
        <v>63.02087006</v>
      </c>
      <c r="J52" s="34">
        <v>56.073186210000003</v>
      </c>
      <c r="K52" s="34">
        <v>69.968553900000003</v>
      </c>
      <c r="L52" s="35"/>
      <c r="M52" s="33">
        <v>2020</v>
      </c>
      <c r="N52" s="34">
        <v>106.5115491</v>
      </c>
      <c r="O52" s="34">
        <v>91.673094879999994</v>
      </c>
      <c r="P52" s="34">
        <v>80.652023869999994</v>
      </c>
      <c r="Q52" s="34">
        <v>102.6941659</v>
      </c>
      <c r="R52" s="35"/>
      <c r="Y52" s="36">
        <v>1999</v>
      </c>
      <c r="Z52" s="35" t="s">
        <v>59</v>
      </c>
      <c r="AA52" s="34">
        <v>86.8277985</v>
      </c>
      <c r="AB52" s="34">
        <v>94.373667229999995</v>
      </c>
      <c r="AC52" s="34">
        <v>88.350811960000001</v>
      </c>
      <c r="AD52" s="34">
        <v>100.3965225</v>
      </c>
      <c r="AE52" s="35"/>
      <c r="AL52" s="36">
        <v>1999</v>
      </c>
      <c r="AM52" s="35" t="s">
        <v>59</v>
      </c>
      <c r="AN52" s="34">
        <v>54.15930908</v>
      </c>
      <c r="AO52" s="34">
        <v>70.301567120000001</v>
      </c>
      <c r="AP52" s="34">
        <v>63.616156220000001</v>
      </c>
      <c r="AQ52" s="34">
        <v>76.986978030000003</v>
      </c>
      <c r="AR52" s="35"/>
    </row>
    <row r="53" spans="1:44" x14ac:dyDescent="0.2">
      <c r="A53" s="33">
        <v>2021</v>
      </c>
      <c r="B53" s="34">
        <v>85.336119760000003</v>
      </c>
      <c r="C53" s="34">
        <v>83.010820749999993</v>
      </c>
      <c r="D53" s="34">
        <v>75.838864270000002</v>
      </c>
      <c r="E53" s="34">
        <v>90.182777229999999</v>
      </c>
      <c r="F53" s="35"/>
      <c r="G53" s="33">
        <v>2021</v>
      </c>
      <c r="H53" s="34">
        <v>67.947253340000003</v>
      </c>
      <c r="I53" s="34">
        <v>62.8040612</v>
      </c>
      <c r="J53" s="34">
        <v>55.421067479999998</v>
      </c>
      <c r="K53" s="34">
        <v>70.187054919999994</v>
      </c>
      <c r="L53" s="35"/>
      <c r="M53" s="33">
        <v>2021</v>
      </c>
      <c r="N53" s="34">
        <v>86.975453329999993</v>
      </c>
      <c r="O53" s="34">
        <v>91.084405829999994</v>
      </c>
      <c r="P53" s="34">
        <v>79.129660450000003</v>
      </c>
      <c r="Q53" s="34">
        <v>103.03915120000001</v>
      </c>
      <c r="R53" s="35"/>
      <c r="Y53" s="36">
        <v>2000</v>
      </c>
      <c r="Z53" s="35" t="s">
        <v>59</v>
      </c>
      <c r="AA53" s="34">
        <v>92.610193089999996</v>
      </c>
      <c r="AB53" s="34">
        <v>93.748519150000007</v>
      </c>
      <c r="AC53" s="34">
        <v>88.002515169999995</v>
      </c>
      <c r="AD53" s="34">
        <v>99.494523119999997</v>
      </c>
      <c r="AE53" s="35"/>
      <c r="AL53" s="36">
        <v>2000</v>
      </c>
      <c r="AM53" s="35" t="s">
        <v>59</v>
      </c>
      <c r="AN53" s="34">
        <v>55.676652429999997</v>
      </c>
      <c r="AO53" s="34">
        <v>67.907617689999995</v>
      </c>
      <c r="AP53" s="34">
        <v>61.222206790000001</v>
      </c>
      <c r="AQ53" s="34">
        <v>74.593028599999997</v>
      </c>
      <c r="AR53" s="35"/>
    </row>
    <row r="54" spans="1:44" x14ac:dyDescent="0.2">
      <c r="A54" s="33">
        <v>2022</v>
      </c>
      <c r="B54" s="34">
        <v>85.139852129999994</v>
      </c>
      <c r="C54" s="34">
        <v>82.634053710000003</v>
      </c>
      <c r="D54" s="34">
        <v>75.225788949999995</v>
      </c>
      <c r="E54" s="34">
        <v>90.042318469999998</v>
      </c>
      <c r="F54" s="35"/>
      <c r="G54" s="33">
        <v>2022</v>
      </c>
      <c r="H54" s="34">
        <v>67.947253340000003</v>
      </c>
      <c r="I54" s="34">
        <v>62.31932595</v>
      </c>
      <c r="J54" s="34">
        <v>54.055347949999998</v>
      </c>
      <c r="K54" s="34">
        <v>70.583303959999995</v>
      </c>
      <c r="L54" s="35"/>
      <c r="M54" s="33">
        <v>2022</v>
      </c>
      <c r="N54" s="34">
        <v>86.775415339999995</v>
      </c>
      <c r="O54" s="34">
        <v>90.471357229999995</v>
      </c>
      <c r="P54" s="34">
        <v>77.381348709999997</v>
      </c>
      <c r="Q54" s="34">
        <v>103.5613658</v>
      </c>
      <c r="R54" s="35"/>
      <c r="Y54" s="36">
        <v>2001</v>
      </c>
      <c r="Z54" s="35" t="s">
        <v>59</v>
      </c>
      <c r="AA54" s="34">
        <v>85.046959079999993</v>
      </c>
      <c r="AB54" s="34">
        <v>93.123371059999997</v>
      </c>
      <c r="AC54" s="34">
        <v>87.630998599999998</v>
      </c>
      <c r="AD54" s="34">
        <v>98.615743530000003</v>
      </c>
      <c r="AE54" s="35"/>
      <c r="AL54" s="36">
        <v>2001</v>
      </c>
      <c r="AM54" s="35" t="s">
        <v>59</v>
      </c>
      <c r="AN54" s="34">
        <v>53.910469659999997</v>
      </c>
      <c r="AO54" s="34">
        <v>65.818119670000002</v>
      </c>
      <c r="AP54" s="34">
        <v>59.138990079999999</v>
      </c>
      <c r="AQ54" s="34">
        <v>72.497249249999996</v>
      </c>
      <c r="AR54" s="35"/>
    </row>
    <row r="55" spans="1:44" x14ac:dyDescent="0.2">
      <c r="A55" s="33">
        <v>2023</v>
      </c>
      <c r="B55" s="34">
        <v>90.809836039999993</v>
      </c>
      <c r="C55" s="34">
        <v>82.255779610000005</v>
      </c>
      <c r="D55" s="34">
        <v>74.608252710000002</v>
      </c>
      <c r="E55" s="34">
        <v>89.903306509999993</v>
      </c>
      <c r="F55" s="35"/>
      <c r="G55" s="33">
        <v>2023</v>
      </c>
      <c r="H55" s="34">
        <v>65.489534849999998</v>
      </c>
      <c r="I55" s="34">
        <v>61.614256500000003</v>
      </c>
      <c r="J55" s="34">
        <v>51.875061690000003</v>
      </c>
      <c r="K55" s="34">
        <v>71.353451309999997</v>
      </c>
      <c r="L55" s="35"/>
      <c r="M55" s="33">
        <v>2023</v>
      </c>
      <c r="N55" s="34">
        <v>103.37052</v>
      </c>
      <c r="O55" s="34">
        <v>89.840715630000005</v>
      </c>
      <c r="P55" s="34">
        <v>75.41650765</v>
      </c>
      <c r="Q55" s="34">
        <v>104.2649236</v>
      </c>
      <c r="R55" s="35"/>
      <c r="Y55" s="36">
        <v>2002</v>
      </c>
      <c r="Z55" s="35" t="s">
        <v>59</v>
      </c>
      <c r="AA55" s="34">
        <v>84.461499930000002</v>
      </c>
      <c r="AB55" s="34">
        <v>92.498222979999994</v>
      </c>
      <c r="AC55" s="34">
        <v>87.229117680000002</v>
      </c>
      <c r="AD55" s="34">
        <v>97.767328269999993</v>
      </c>
      <c r="AE55" s="35"/>
      <c r="AL55" s="36">
        <v>2002</v>
      </c>
      <c r="AM55" s="35" t="s">
        <v>59</v>
      </c>
      <c r="AN55" s="34">
        <v>61.471401579999998</v>
      </c>
      <c r="AO55" s="34">
        <v>64.005298519999997</v>
      </c>
      <c r="AP55" s="34">
        <v>57.336637789999997</v>
      </c>
      <c r="AQ55" s="34">
        <v>70.673959260000004</v>
      </c>
      <c r="AR55" s="35"/>
    </row>
    <row r="56" spans="1:44" x14ac:dyDescent="0.2">
      <c r="A56" s="33">
        <v>2024</v>
      </c>
      <c r="B56" s="37">
        <v>58.36236624</v>
      </c>
      <c r="C56" s="37">
        <v>81.87901257</v>
      </c>
      <c r="D56" s="37">
        <v>73.989269669999999</v>
      </c>
      <c r="E56" s="37">
        <v>89.768755459999994</v>
      </c>
      <c r="G56" s="33">
        <v>2024</v>
      </c>
      <c r="H56" s="37">
        <v>44.378427129999999</v>
      </c>
      <c r="I56" s="37">
        <v>60.787562569999999</v>
      </c>
      <c r="J56" s="37">
        <v>48.913276459999999</v>
      </c>
      <c r="K56" s="37">
        <v>72.661848689999999</v>
      </c>
      <c r="M56" s="33">
        <v>2024</v>
      </c>
      <c r="N56" s="37">
        <v>62.574401010000003</v>
      </c>
      <c r="O56" s="37">
        <v>89.199247560000003</v>
      </c>
      <c r="P56" s="37">
        <v>73.244556320000001</v>
      </c>
      <c r="Q56" s="37">
        <v>105.15393880000001</v>
      </c>
      <c r="Y56" s="36">
        <v>2003</v>
      </c>
      <c r="Z56" s="35" t="s">
        <v>59</v>
      </c>
      <c r="AA56" s="34">
        <v>103.91034569999999</v>
      </c>
      <c r="AB56" s="34">
        <v>91.873074889999998</v>
      </c>
      <c r="AC56" s="34">
        <v>86.793300160000001</v>
      </c>
      <c r="AD56" s="34">
        <v>96.952849619999995</v>
      </c>
      <c r="AE56" s="35"/>
      <c r="AL56" s="36">
        <v>2003</v>
      </c>
      <c r="AM56" s="35" t="s">
        <v>59</v>
      </c>
      <c r="AN56" s="34">
        <v>75.452409889999998</v>
      </c>
      <c r="AO56" s="34">
        <v>62.411468739999997</v>
      </c>
      <c r="AP56" s="34">
        <v>55.757464400000003</v>
      </c>
      <c r="AQ56" s="34">
        <v>69.065473069999996</v>
      </c>
      <c r="AR56" s="35"/>
    </row>
    <row r="57" spans="1:44" x14ac:dyDescent="0.2">
      <c r="Y57" s="36">
        <v>2004</v>
      </c>
      <c r="Z57" s="35" t="s">
        <v>59</v>
      </c>
      <c r="AA57" s="34">
        <v>102.0137682</v>
      </c>
      <c r="AB57" s="34">
        <v>91.247926800000002</v>
      </c>
      <c r="AC57" s="34">
        <v>86.319973750000003</v>
      </c>
      <c r="AD57" s="34">
        <v>96.175879850000001</v>
      </c>
      <c r="AE57" s="35"/>
      <c r="AL57" s="36">
        <v>2004</v>
      </c>
      <c r="AM57" s="35" t="s">
        <v>59</v>
      </c>
      <c r="AN57" s="34">
        <v>75.278874169999995</v>
      </c>
      <c r="AO57" s="34">
        <v>60.966125779999999</v>
      </c>
      <c r="AP57" s="34">
        <v>54.326777839999998</v>
      </c>
      <c r="AQ57" s="34">
        <v>67.605473720000006</v>
      </c>
      <c r="AR57" s="35"/>
    </row>
    <row r="58" spans="1:44" x14ac:dyDescent="0.2">
      <c r="Y58" s="36">
        <v>2005</v>
      </c>
      <c r="Z58" s="35" t="s">
        <v>59</v>
      </c>
      <c r="AA58" s="34">
        <v>90.919866569999996</v>
      </c>
      <c r="AB58" s="34">
        <v>90.622778719999999</v>
      </c>
      <c r="AC58" s="34">
        <v>85.807352320000007</v>
      </c>
      <c r="AD58" s="34">
        <v>95.438205109999998</v>
      </c>
      <c r="AE58" s="35"/>
      <c r="AL58" s="36">
        <v>2005</v>
      </c>
      <c r="AM58" s="35" t="s">
        <v>59</v>
      </c>
      <c r="AN58" s="34">
        <v>63.778325899999999</v>
      </c>
      <c r="AO58" s="34">
        <v>59.640426869999999</v>
      </c>
      <c r="AP58" s="34">
        <v>53.013641560000003</v>
      </c>
      <c r="AQ58" s="34">
        <v>66.267212189999995</v>
      </c>
      <c r="AR58" s="35"/>
    </row>
    <row r="59" spans="1:44" x14ac:dyDescent="0.2">
      <c r="Y59" s="36">
        <v>2006</v>
      </c>
      <c r="Z59" s="35" t="s">
        <v>59</v>
      </c>
      <c r="AA59" s="34">
        <v>90.502127729999998</v>
      </c>
      <c r="AB59" s="34">
        <v>89.997630630000003</v>
      </c>
      <c r="AC59" s="34">
        <v>85.25007746</v>
      </c>
      <c r="AD59" s="34">
        <v>94.74518381</v>
      </c>
      <c r="AE59" s="35"/>
      <c r="AL59" s="36">
        <v>2006</v>
      </c>
      <c r="AM59" s="35" t="s">
        <v>59</v>
      </c>
      <c r="AN59" s="34">
        <v>61.613107800000002</v>
      </c>
      <c r="AO59" s="34">
        <v>58.44505453</v>
      </c>
      <c r="AP59" s="34">
        <v>51.826644299999998</v>
      </c>
      <c r="AQ59" s="34">
        <v>65.063464760000002</v>
      </c>
      <c r="AR59" s="35"/>
    </row>
    <row r="60" spans="1:44" x14ac:dyDescent="0.2">
      <c r="Y60" s="36">
        <v>2007</v>
      </c>
      <c r="Z60" s="35" t="s">
        <v>59</v>
      </c>
      <c r="AA60" s="34">
        <v>66.475067910000007</v>
      </c>
      <c r="AB60" s="34">
        <v>89.372482550000001</v>
      </c>
      <c r="AC60" s="34">
        <v>84.646363019999995</v>
      </c>
      <c r="AD60" s="34">
        <v>94.098602069999998</v>
      </c>
      <c r="AE60" s="35"/>
      <c r="AL60" s="36">
        <v>2007</v>
      </c>
      <c r="AM60" s="35" t="s">
        <v>59</v>
      </c>
      <c r="AN60" s="34">
        <v>43.82007488</v>
      </c>
      <c r="AO60" s="34">
        <v>57.405646769999997</v>
      </c>
      <c r="AP60" s="34">
        <v>50.789330309999997</v>
      </c>
      <c r="AQ60" s="34">
        <v>64.021963229999997</v>
      </c>
      <c r="AR60" s="35"/>
    </row>
    <row r="61" spans="1:44" x14ac:dyDescent="0.2">
      <c r="Y61" s="36">
        <v>2008</v>
      </c>
      <c r="Z61" s="35" t="s">
        <v>59</v>
      </c>
      <c r="AA61" s="34">
        <v>62.901179569999996</v>
      </c>
      <c r="AB61" s="34">
        <v>88.74642317</v>
      </c>
      <c r="AC61" s="34">
        <v>83.997083860000004</v>
      </c>
      <c r="AD61" s="34">
        <v>93.495762479999996</v>
      </c>
      <c r="AE61" s="35"/>
      <c r="AL61" s="36">
        <v>2008</v>
      </c>
      <c r="AM61" s="35" t="s">
        <v>59</v>
      </c>
      <c r="AN61" s="34">
        <v>40.613752259999998</v>
      </c>
      <c r="AO61" s="34">
        <v>56.554251100000002</v>
      </c>
      <c r="AP61" s="34">
        <v>49.93584087</v>
      </c>
      <c r="AQ61" s="34">
        <v>63.172661329999997</v>
      </c>
      <c r="AR61" s="35"/>
    </row>
    <row r="62" spans="1:44" x14ac:dyDescent="0.2">
      <c r="Y62" s="36">
        <v>2009</v>
      </c>
      <c r="Z62" s="35" t="s">
        <v>59</v>
      </c>
      <c r="AA62" s="34">
        <v>89.466158440000001</v>
      </c>
      <c r="AB62" s="34">
        <v>88.121275080000004</v>
      </c>
      <c r="AC62" s="34">
        <v>83.304062549999998</v>
      </c>
      <c r="AD62" s="34">
        <v>92.938487620000004</v>
      </c>
      <c r="AE62" s="35"/>
      <c r="AL62" s="36">
        <v>2009</v>
      </c>
      <c r="AM62" s="35" t="s">
        <v>59</v>
      </c>
      <c r="AN62" s="34">
        <v>60.210622239999999</v>
      </c>
      <c r="AO62" s="34">
        <v>55.883389770000001</v>
      </c>
      <c r="AP62" s="34">
        <v>49.256604459999998</v>
      </c>
      <c r="AQ62" s="34">
        <v>62.510175089999997</v>
      </c>
      <c r="AR62" s="35"/>
    </row>
    <row r="63" spans="1:44" x14ac:dyDescent="0.2">
      <c r="Y63" s="36">
        <v>2010</v>
      </c>
      <c r="Z63" s="35" t="s">
        <v>59</v>
      </c>
      <c r="AA63" s="34">
        <v>92.823681640000004</v>
      </c>
      <c r="AB63" s="34">
        <v>87.496127000000001</v>
      </c>
      <c r="AC63" s="34">
        <v>82.566387809999995</v>
      </c>
      <c r="AD63" s="34">
        <v>92.425866189999994</v>
      </c>
      <c r="AE63" s="35"/>
      <c r="AL63" s="36">
        <v>2010</v>
      </c>
      <c r="AM63" s="35" t="s">
        <v>59</v>
      </c>
      <c r="AN63" s="34">
        <v>67.557429299999995</v>
      </c>
      <c r="AO63" s="34">
        <v>55.341786759999998</v>
      </c>
      <c r="AP63" s="34">
        <v>48.702438819999998</v>
      </c>
      <c r="AQ63" s="34">
        <v>61.981134699999998</v>
      </c>
      <c r="AR63" s="35"/>
    </row>
    <row r="64" spans="1:44" x14ac:dyDescent="0.2">
      <c r="Y64" s="36">
        <v>2011</v>
      </c>
      <c r="Z64" s="35" t="s">
        <v>59</v>
      </c>
      <c r="AA64" s="34">
        <v>84.267243879999995</v>
      </c>
      <c r="AB64" s="34">
        <v>86.870978910000005</v>
      </c>
      <c r="AC64" s="34">
        <v>81.787631910000002</v>
      </c>
      <c r="AD64" s="34">
        <v>91.954325920000002</v>
      </c>
      <c r="AE64" s="35"/>
      <c r="AL64" s="36">
        <v>2011</v>
      </c>
      <c r="AM64" s="35" t="s">
        <v>59</v>
      </c>
      <c r="AN64" s="34">
        <v>59.658607930000002</v>
      </c>
      <c r="AO64" s="34">
        <v>54.887780280000001</v>
      </c>
      <c r="AP64" s="34">
        <v>48.233775950000002</v>
      </c>
      <c r="AQ64" s="34">
        <v>61.541784620000001</v>
      </c>
      <c r="AR64" s="35"/>
    </row>
    <row r="65" spans="25:44" x14ac:dyDescent="0.2">
      <c r="Y65" s="36">
        <v>2012</v>
      </c>
      <c r="Z65" s="35" t="s">
        <v>59</v>
      </c>
      <c r="AA65" s="34">
        <v>53.169036419999998</v>
      </c>
      <c r="AB65" s="34">
        <v>86.245830830000003</v>
      </c>
      <c r="AC65" s="34">
        <v>80.971367119999996</v>
      </c>
      <c r="AD65" s="34">
        <v>91.520294530000001</v>
      </c>
      <c r="AE65" s="35"/>
      <c r="AL65" s="36">
        <v>2012</v>
      </c>
      <c r="AM65" s="35" t="s">
        <v>59</v>
      </c>
      <c r="AN65" s="34">
        <v>34.250988929999998</v>
      </c>
      <c r="AO65" s="34">
        <v>54.51709735</v>
      </c>
      <c r="AP65" s="34">
        <v>47.848436620000001</v>
      </c>
      <c r="AQ65" s="34">
        <v>61.185758079999999</v>
      </c>
      <c r="AR65" s="35"/>
    </row>
    <row r="66" spans="25:44" x14ac:dyDescent="0.2">
      <c r="Y66" s="36">
        <v>2013</v>
      </c>
      <c r="Z66" s="35" t="s">
        <v>59</v>
      </c>
      <c r="AA66" s="34">
        <v>100.15180700000001</v>
      </c>
      <c r="AB66" s="34">
        <v>85.620682740000007</v>
      </c>
      <c r="AC66" s="34">
        <v>80.122951869999994</v>
      </c>
      <c r="AD66" s="34">
        <v>91.118413619999998</v>
      </c>
      <c r="AE66" s="35"/>
      <c r="AL66" s="36">
        <v>2013</v>
      </c>
      <c r="AM66" s="35" t="s">
        <v>59</v>
      </c>
      <c r="AN66" s="34">
        <v>62.470231509999998</v>
      </c>
      <c r="AO66" s="34">
        <v>54.238283959999997</v>
      </c>
      <c r="AP66" s="34">
        <v>47.559154370000002</v>
      </c>
      <c r="AQ66" s="34">
        <v>60.917413549999999</v>
      </c>
      <c r="AR66" s="35"/>
    </row>
    <row r="67" spans="25:44" x14ac:dyDescent="0.2">
      <c r="Y67" s="36">
        <v>2014</v>
      </c>
      <c r="Z67" s="35" t="s">
        <v>59</v>
      </c>
      <c r="AA67" s="34">
        <v>94.114987679999999</v>
      </c>
      <c r="AB67" s="34">
        <v>84.995534660000004</v>
      </c>
      <c r="AC67" s="34">
        <v>79.244172270000007</v>
      </c>
      <c r="AD67" s="34">
        <v>90.746897039999993</v>
      </c>
      <c r="AE67" s="35"/>
      <c r="AL67" s="36">
        <v>2014</v>
      </c>
      <c r="AM67" s="35" t="s">
        <v>59</v>
      </c>
      <c r="AN67" s="34">
        <v>56.191822160000001</v>
      </c>
      <c r="AO67" s="34">
        <v>54.001132349999999</v>
      </c>
      <c r="AP67" s="34">
        <v>47.315721439999997</v>
      </c>
      <c r="AQ67" s="34">
        <v>60.68654325</v>
      </c>
      <c r="AR67" s="35"/>
    </row>
    <row r="68" spans="25:44" x14ac:dyDescent="0.2">
      <c r="Y68" s="36">
        <v>2015</v>
      </c>
      <c r="Z68" s="35" t="s">
        <v>59</v>
      </c>
      <c r="AA68" s="34">
        <v>87.631206219999996</v>
      </c>
      <c r="AB68" s="34">
        <v>84.370386569999994</v>
      </c>
      <c r="AC68" s="34">
        <v>78.340386749999993</v>
      </c>
      <c r="AD68" s="34">
        <v>90.400386389999994</v>
      </c>
      <c r="AE68" s="35"/>
      <c r="AL68" s="36">
        <v>2015</v>
      </c>
      <c r="AM68" s="35" t="s">
        <v>59</v>
      </c>
      <c r="AN68" s="34">
        <v>53.910469659999997</v>
      </c>
      <c r="AO68" s="34">
        <v>53.781072739999999</v>
      </c>
      <c r="AP68" s="34">
        <v>47.095661829999997</v>
      </c>
      <c r="AQ68" s="34">
        <v>60.46648364</v>
      </c>
      <c r="AR68" s="35"/>
    </row>
    <row r="69" spans="25:44" x14ac:dyDescent="0.2">
      <c r="Y69" s="36">
        <v>2016</v>
      </c>
      <c r="Z69" s="35" t="s">
        <v>59</v>
      </c>
      <c r="AA69" s="34">
        <v>65.714134099999995</v>
      </c>
      <c r="AB69" s="34">
        <v>83.745238490000006</v>
      </c>
      <c r="AC69" s="34">
        <v>77.415167589999996</v>
      </c>
      <c r="AD69" s="34">
        <v>90.075309379999993</v>
      </c>
      <c r="AE69" s="35"/>
      <c r="AL69" s="36">
        <v>2016</v>
      </c>
      <c r="AM69" s="35" t="s">
        <v>59</v>
      </c>
      <c r="AN69" s="34">
        <v>38.785832300000003</v>
      </c>
      <c r="AO69" s="34">
        <v>53.557808379999997</v>
      </c>
      <c r="AP69" s="34">
        <v>46.870303700000001</v>
      </c>
      <c r="AQ69" s="34">
        <v>60.24531305</v>
      </c>
      <c r="AR69" s="35"/>
    </row>
    <row r="70" spans="25:44" x14ac:dyDescent="0.2">
      <c r="Y70" s="36">
        <v>2017</v>
      </c>
      <c r="Z70" s="35" t="s">
        <v>59</v>
      </c>
      <c r="AA70" s="34">
        <v>83.111053940000005</v>
      </c>
      <c r="AB70" s="34">
        <v>83.120090399999995</v>
      </c>
      <c r="AC70" s="34">
        <v>76.468514769999999</v>
      </c>
      <c r="AD70" s="34">
        <v>89.771666030000006</v>
      </c>
      <c r="AE70" s="35"/>
      <c r="AL70" s="36">
        <v>2017</v>
      </c>
      <c r="AM70" s="35" t="s">
        <v>59</v>
      </c>
      <c r="AN70" s="34">
        <v>51.721738639999998</v>
      </c>
      <c r="AO70" s="34">
        <v>53.31104251</v>
      </c>
      <c r="AP70" s="34">
        <v>46.60469389</v>
      </c>
      <c r="AQ70" s="34">
        <v>60.017391119999999</v>
      </c>
      <c r="AR70" s="35"/>
    </row>
    <row r="71" spans="25:44" x14ac:dyDescent="0.2">
      <c r="Y71" s="36">
        <v>2018</v>
      </c>
      <c r="Z71" s="35" t="s">
        <v>59</v>
      </c>
      <c r="AA71" s="34">
        <v>100.8460262</v>
      </c>
      <c r="AB71" s="34">
        <v>82.494942320000007</v>
      </c>
      <c r="AC71" s="34">
        <v>75.507572859999996</v>
      </c>
      <c r="AD71" s="34">
        <v>89.482311769999995</v>
      </c>
      <c r="AE71" s="35"/>
      <c r="AL71" s="36">
        <v>2018</v>
      </c>
      <c r="AM71" s="35" t="s">
        <v>59</v>
      </c>
      <c r="AN71" s="34">
        <v>73.227315860000004</v>
      </c>
      <c r="AO71" s="34">
        <v>52.979884839999997</v>
      </c>
      <c r="AP71" s="34">
        <v>46.202348010000001</v>
      </c>
      <c r="AQ71" s="34">
        <v>59.757421669999999</v>
      </c>
      <c r="AR71" s="35"/>
    </row>
    <row r="72" spans="25:44" x14ac:dyDescent="0.2">
      <c r="Y72" s="36">
        <v>2019</v>
      </c>
      <c r="Z72" s="35" t="s">
        <v>59</v>
      </c>
      <c r="AA72" s="34">
        <v>101.31151029999999</v>
      </c>
      <c r="AB72" s="34">
        <v>81.869794229999997</v>
      </c>
      <c r="AC72" s="34">
        <v>74.530555710000002</v>
      </c>
      <c r="AD72" s="34">
        <v>89.209032750000006</v>
      </c>
      <c r="AE72" s="35"/>
      <c r="AL72" s="36">
        <v>2019</v>
      </c>
      <c r="AM72" s="35" t="s">
        <v>59</v>
      </c>
      <c r="AN72" s="34">
        <v>62.758580989999999</v>
      </c>
      <c r="AO72" s="34">
        <v>52.497035599999997</v>
      </c>
      <c r="AP72" s="34">
        <v>45.54362201</v>
      </c>
      <c r="AQ72" s="34">
        <v>59.450449200000001</v>
      </c>
      <c r="AR72" s="35"/>
    </row>
    <row r="73" spans="25:44" x14ac:dyDescent="0.2">
      <c r="Y73" s="36">
        <v>2020</v>
      </c>
      <c r="Z73" s="35" t="s">
        <v>59</v>
      </c>
      <c r="AA73" s="34">
        <v>94.549402720000003</v>
      </c>
      <c r="AB73" s="34">
        <v>81.24464614</v>
      </c>
      <c r="AC73" s="34">
        <v>73.541035600000001</v>
      </c>
      <c r="AD73" s="34">
        <v>88.948256689999994</v>
      </c>
      <c r="AE73" s="35"/>
      <c r="AL73" s="36">
        <v>2020</v>
      </c>
      <c r="AM73" s="35" t="s">
        <v>59</v>
      </c>
      <c r="AN73" s="34">
        <v>61.048235429999998</v>
      </c>
      <c r="AO73" s="34">
        <v>51.853948789999997</v>
      </c>
      <c r="AP73" s="34">
        <v>44.544594119999999</v>
      </c>
      <c r="AQ73" s="34">
        <v>59.163303460000002</v>
      </c>
      <c r="AR73" s="35"/>
    </row>
    <row r="74" spans="25:44" x14ac:dyDescent="0.2">
      <c r="Y74" s="36">
        <v>2021</v>
      </c>
      <c r="Z74" s="35" t="s">
        <v>59</v>
      </c>
      <c r="AA74" s="34">
        <v>81.594106249999996</v>
      </c>
      <c r="AB74" s="34">
        <v>80.619498059999998</v>
      </c>
      <c r="AC74" s="34">
        <v>72.5425848</v>
      </c>
      <c r="AD74" s="34">
        <v>88.696411319999996</v>
      </c>
      <c r="AE74" s="35"/>
      <c r="AL74" s="36">
        <v>2021</v>
      </c>
      <c r="AM74" s="35" t="s">
        <v>59</v>
      </c>
      <c r="AN74" s="34">
        <v>42.921324509999998</v>
      </c>
      <c r="AO74" s="34">
        <v>51.073057650000003</v>
      </c>
      <c r="AP74" s="34">
        <v>43.13766545</v>
      </c>
      <c r="AQ74" s="34">
        <v>59.008449859999999</v>
      </c>
      <c r="AR74" s="35"/>
    </row>
    <row r="75" spans="25:44" x14ac:dyDescent="0.2">
      <c r="Y75" s="36">
        <v>2022</v>
      </c>
      <c r="Z75" s="35" t="s">
        <v>59</v>
      </c>
      <c r="AA75" s="34">
        <v>76.499534010000005</v>
      </c>
      <c r="AB75" s="34">
        <v>79.994349970000002</v>
      </c>
      <c r="AC75" s="34">
        <v>71.533417170000007</v>
      </c>
      <c r="AD75" s="34">
        <v>88.455282769999997</v>
      </c>
      <c r="AE75" s="35"/>
      <c r="AL75" s="36">
        <v>2022</v>
      </c>
      <c r="AM75" s="35" t="s">
        <v>59</v>
      </c>
      <c r="AN75" s="34">
        <v>48.26953503</v>
      </c>
      <c r="AO75" s="34">
        <v>50.203501729999999</v>
      </c>
      <c r="AP75" s="34">
        <v>41.292412220000003</v>
      </c>
      <c r="AQ75" s="34">
        <v>59.114591230000002</v>
      </c>
      <c r="AR75" s="35"/>
    </row>
    <row r="76" spans="25:44" x14ac:dyDescent="0.2">
      <c r="Y76" s="36">
        <v>2023</v>
      </c>
      <c r="Z76" s="35" t="s">
        <v>59</v>
      </c>
      <c r="AA76" s="37">
        <v>93.037662319999995</v>
      </c>
      <c r="AB76" s="37">
        <v>79.369201889999999</v>
      </c>
      <c r="AC76" s="37">
        <v>70.517105000000001</v>
      </c>
      <c r="AD76" s="37">
        <v>88.221298779999998</v>
      </c>
      <c r="AL76" s="39">
        <v>2023</v>
      </c>
      <c r="AM76" s="35" t="s">
        <v>59</v>
      </c>
      <c r="AN76" s="37">
        <v>57.899273630000003</v>
      </c>
      <c r="AO76" s="37">
        <v>49.269850769999998</v>
      </c>
      <c r="AP76" s="37">
        <v>38.989435</v>
      </c>
      <c r="AQ76" s="37">
        <v>59.550266530000002</v>
      </c>
    </row>
    <row r="77" spans="25:44" x14ac:dyDescent="0.2">
      <c r="Y77" s="39">
        <v>2024</v>
      </c>
      <c r="Z77" s="35" t="s">
        <v>59</v>
      </c>
      <c r="AA77" s="37">
        <v>55.29155317</v>
      </c>
      <c r="AB77" s="37">
        <v>78.744053800000003</v>
      </c>
      <c r="AC77" s="37">
        <v>69.491862139999995</v>
      </c>
      <c r="AD77" s="37">
        <v>87.996245470000005</v>
      </c>
      <c r="AL77" s="39">
        <v>2024</v>
      </c>
      <c r="AM77" s="35" t="s">
        <v>59</v>
      </c>
      <c r="AN77" s="37">
        <v>33.012097220000001</v>
      </c>
      <c r="AO77" s="37">
        <v>48.292401529999999</v>
      </c>
      <c r="AP77" s="37">
        <v>36.23228039</v>
      </c>
      <c r="AQ77" s="37">
        <v>60.352522669999999</v>
      </c>
    </row>
  </sheetData>
  <pageMargins left="0.70000000000000007" right="0.70000000000000007" top="0.75" bottom="0.75" header="0.30000000000000004" footer="0.30000000000000004"/>
  <pageSetup paperSize="0" fitToWidth="0" fitToHeight="0" orientation="portrait" horizontalDpi="0" verticalDpi="0" copies="0"/>
  <headerFooter>
    <oddHeader>&amp;C&amp;"Aptos"&amp;10&amp;K000000 CLASSIFICATION: CONFIDENTIAL - COMMERCIAL IN CONFIDENCE&amp;1#_x000D_</oddHeader>
  </headerFooter>
  <tableParts count="7">
    <tablePart r:id="rId1"/>
    <tablePart r:id="rId2"/>
    <tablePart r:id="rId3"/>
    <tablePart r:id="rId4"/>
    <tablePart r:id="rId5"/>
    <tablePart r:id="rId6"/>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BD39C-05B2-4608-8E6B-19A03342437C}">
  <dimension ref="A1:AI13"/>
  <sheetViews>
    <sheetView workbookViewId="0"/>
  </sheetViews>
  <sheetFormatPr defaultColWidth="11.5546875" defaultRowHeight="15" x14ac:dyDescent="0.2"/>
  <cols>
    <col min="1" max="1" width="38.33203125" customWidth="1"/>
    <col min="2" max="2" width="11.5546875" customWidth="1"/>
    <col min="3" max="3" width="14.33203125" customWidth="1"/>
    <col min="4" max="4" width="21.77734375" customWidth="1"/>
    <col min="5" max="5" width="11.5546875" customWidth="1"/>
    <col min="6" max="6" width="34.88671875" customWidth="1"/>
    <col min="7" max="7" width="11.5546875" customWidth="1"/>
    <col min="8" max="8" width="14.33203125" customWidth="1"/>
    <col min="9" max="9" width="21.77734375" customWidth="1"/>
    <col min="10" max="10" width="11.5546875" customWidth="1"/>
    <col min="11" max="11" width="34.109375" customWidth="1"/>
    <col min="12" max="12" width="11.5546875" customWidth="1"/>
    <col min="13" max="13" width="14.33203125" customWidth="1"/>
    <col min="14" max="14" width="21.77734375" customWidth="1"/>
    <col min="15" max="15" width="11.5546875" customWidth="1"/>
    <col min="16" max="16" width="34.6640625" customWidth="1"/>
    <col min="17" max="17" width="11.5546875" customWidth="1"/>
    <col min="18" max="18" width="14.33203125" customWidth="1"/>
    <col min="19" max="19" width="21.77734375" customWidth="1"/>
    <col min="20" max="20" width="11.5546875" customWidth="1"/>
    <col min="21" max="21" width="34.6640625" customWidth="1"/>
    <col min="22" max="22" width="11.5546875" customWidth="1"/>
    <col min="23" max="23" width="14.33203125" customWidth="1"/>
    <col min="24" max="24" width="21.77734375" customWidth="1"/>
    <col min="25" max="25" width="11.5546875" customWidth="1"/>
    <col min="26" max="26" width="34.6640625" customWidth="1"/>
    <col min="27" max="27" width="11.5546875" customWidth="1"/>
    <col min="28" max="28" width="14.33203125" customWidth="1"/>
    <col min="29" max="29" width="21.77734375" customWidth="1"/>
    <col min="30" max="30" width="11.5546875" customWidth="1"/>
    <col min="31" max="31" width="34.88671875" customWidth="1"/>
    <col min="32" max="32" width="11.5546875" customWidth="1"/>
    <col min="33" max="33" width="14.33203125" customWidth="1"/>
    <col min="34" max="34" width="21.77734375" customWidth="1"/>
  </cols>
  <sheetData>
    <row r="1" spans="1:35" ht="18" x14ac:dyDescent="0.2">
      <c r="A1" s="28" t="s">
        <v>26</v>
      </c>
    </row>
    <row r="2" spans="1:35" x14ac:dyDescent="0.2">
      <c r="A2" s="6" t="s">
        <v>60</v>
      </c>
    </row>
    <row r="3" spans="1:35" x14ac:dyDescent="0.2">
      <c r="A3" s="6" t="s">
        <v>42</v>
      </c>
    </row>
    <row r="4" spans="1:35" x14ac:dyDescent="0.2">
      <c r="A4" s="6" t="s">
        <v>43</v>
      </c>
    </row>
    <row r="5" spans="1:35" x14ac:dyDescent="0.2">
      <c r="A5" s="6" t="s">
        <v>44</v>
      </c>
    </row>
    <row r="6" spans="1:35" ht="80.099999999999994" customHeight="1" x14ac:dyDescent="0.2">
      <c r="A6" s="29" t="s">
        <v>61</v>
      </c>
      <c r="F6" s="29" t="s">
        <v>62</v>
      </c>
      <c r="K6" s="29" t="s">
        <v>63</v>
      </c>
      <c r="P6" s="29" t="s">
        <v>64</v>
      </c>
      <c r="U6" s="29" t="s">
        <v>65</v>
      </c>
      <c r="Z6" s="29" t="s">
        <v>66</v>
      </c>
      <c r="AE6" s="29" t="s">
        <v>67</v>
      </c>
    </row>
    <row r="7" spans="1:35" ht="15.75" x14ac:dyDescent="0.25">
      <c r="A7" s="32" t="s">
        <v>68</v>
      </c>
      <c r="B7" s="32" t="s">
        <v>69</v>
      </c>
      <c r="C7" s="32" t="s">
        <v>70</v>
      </c>
      <c r="D7" s="32" t="s">
        <v>71</v>
      </c>
      <c r="F7" s="32" t="s">
        <v>68</v>
      </c>
      <c r="G7" s="32" t="s">
        <v>69</v>
      </c>
      <c r="H7" s="32" t="s">
        <v>70</v>
      </c>
      <c r="I7" s="32" t="s">
        <v>71</v>
      </c>
      <c r="K7" s="32" t="s">
        <v>68</v>
      </c>
      <c r="L7" s="32" t="s">
        <v>69</v>
      </c>
      <c r="M7" s="32" t="s">
        <v>70</v>
      </c>
      <c r="N7" s="32" t="s">
        <v>71</v>
      </c>
      <c r="P7" s="32" t="s">
        <v>68</v>
      </c>
      <c r="Q7" s="32" t="s">
        <v>69</v>
      </c>
      <c r="R7" s="32" t="s">
        <v>70</v>
      </c>
      <c r="S7" s="32" t="s">
        <v>71</v>
      </c>
      <c r="U7" s="32" t="s">
        <v>68</v>
      </c>
      <c r="V7" s="32" t="s">
        <v>69</v>
      </c>
      <c r="W7" s="32" t="s">
        <v>70</v>
      </c>
      <c r="X7" s="32" t="s">
        <v>71</v>
      </c>
      <c r="Z7" s="32" t="s">
        <v>68</v>
      </c>
      <c r="AA7" s="32" t="s">
        <v>69</v>
      </c>
      <c r="AB7" s="32" t="s">
        <v>70</v>
      </c>
      <c r="AC7" s="32" t="s">
        <v>71</v>
      </c>
      <c r="AE7" s="32" t="s">
        <v>68</v>
      </c>
      <c r="AF7" s="32" t="s">
        <v>69</v>
      </c>
      <c r="AG7" s="32" t="s">
        <v>70</v>
      </c>
      <c r="AH7" s="32" t="s">
        <v>71</v>
      </c>
    </row>
    <row r="8" spans="1:35" x14ac:dyDescent="0.2">
      <c r="A8" s="35" t="s">
        <v>72</v>
      </c>
      <c r="B8" s="35" t="s">
        <v>73</v>
      </c>
      <c r="C8" s="40">
        <v>14</v>
      </c>
      <c r="D8" s="40">
        <v>28</v>
      </c>
      <c r="E8" s="35"/>
      <c r="F8" s="35" t="s">
        <v>72</v>
      </c>
      <c r="G8" s="35" t="s">
        <v>73</v>
      </c>
      <c r="H8" s="40">
        <v>7</v>
      </c>
      <c r="I8" s="40">
        <v>27</v>
      </c>
      <c r="J8" s="35"/>
      <c r="K8" s="35" t="s">
        <v>72</v>
      </c>
      <c r="L8" s="35" t="s">
        <v>73</v>
      </c>
      <c r="M8" s="40">
        <v>7</v>
      </c>
      <c r="N8" s="40">
        <v>29</v>
      </c>
      <c r="O8" s="35"/>
      <c r="P8" s="35" t="s">
        <v>72</v>
      </c>
      <c r="Q8" s="35" t="s">
        <v>73</v>
      </c>
      <c r="R8" s="35">
        <v>5</v>
      </c>
      <c r="S8" s="35">
        <v>23</v>
      </c>
      <c r="T8" s="35"/>
      <c r="U8" s="35" t="s">
        <v>72</v>
      </c>
      <c r="V8" s="35" t="s">
        <v>73</v>
      </c>
      <c r="W8" s="35">
        <v>2</v>
      </c>
      <c r="X8" s="35">
        <v>9</v>
      </c>
      <c r="Y8" s="35"/>
      <c r="Z8" s="35" t="s">
        <v>72</v>
      </c>
      <c r="AA8" s="35" t="s">
        <v>73</v>
      </c>
      <c r="AB8" s="35">
        <v>0</v>
      </c>
      <c r="AC8" s="35">
        <v>0</v>
      </c>
      <c r="AD8" s="35"/>
      <c r="AE8" s="35" t="s">
        <v>72</v>
      </c>
      <c r="AF8" s="35" t="s">
        <v>73</v>
      </c>
      <c r="AG8" s="35">
        <v>2</v>
      </c>
      <c r="AH8" s="35">
        <v>13</v>
      </c>
      <c r="AI8" s="35"/>
    </row>
    <row r="9" spans="1:35" x14ac:dyDescent="0.2">
      <c r="A9" s="35" t="s">
        <v>72</v>
      </c>
      <c r="B9" s="35" t="s">
        <v>74</v>
      </c>
      <c r="C9" s="40">
        <v>1</v>
      </c>
      <c r="D9" s="40">
        <v>2</v>
      </c>
      <c r="E9" s="35"/>
      <c r="F9" s="35" t="s">
        <v>72</v>
      </c>
      <c r="G9" s="35" t="s">
        <v>74</v>
      </c>
      <c r="H9" s="40">
        <v>1</v>
      </c>
      <c r="I9" s="40">
        <v>4</v>
      </c>
      <c r="J9" s="35"/>
      <c r="K9" s="35" t="s">
        <v>72</v>
      </c>
      <c r="L9" s="35" t="s">
        <v>74</v>
      </c>
      <c r="M9" s="40">
        <v>0</v>
      </c>
      <c r="N9" s="40">
        <v>0</v>
      </c>
      <c r="O9" s="35"/>
      <c r="P9" s="35" t="s">
        <v>72</v>
      </c>
      <c r="Q9" s="35" t="s">
        <v>74</v>
      </c>
      <c r="R9" s="35">
        <v>0</v>
      </c>
      <c r="S9" s="35">
        <v>0</v>
      </c>
      <c r="T9" s="35"/>
      <c r="U9" s="35" t="s">
        <v>72</v>
      </c>
      <c r="V9" s="35" t="s">
        <v>74</v>
      </c>
      <c r="W9" s="35">
        <v>0</v>
      </c>
      <c r="X9" s="35">
        <v>0</v>
      </c>
      <c r="Y9" s="35"/>
      <c r="Z9" s="35" t="s">
        <v>72</v>
      </c>
      <c r="AA9" s="35" t="s">
        <v>74</v>
      </c>
      <c r="AB9" s="35">
        <v>0</v>
      </c>
      <c r="AC9" s="35">
        <v>0</v>
      </c>
      <c r="AD9" s="35"/>
      <c r="AE9" s="35" t="s">
        <v>72</v>
      </c>
      <c r="AF9" s="35" t="s">
        <v>74</v>
      </c>
      <c r="AG9" s="35">
        <v>0</v>
      </c>
      <c r="AH9" s="35">
        <v>0</v>
      </c>
      <c r="AI9" s="35"/>
    </row>
    <row r="10" spans="1:35" x14ac:dyDescent="0.2">
      <c r="A10" s="35" t="s">
        <v>75</v>
      </c>
      <c r="B10" s="35" t="s">
        <v>73</v>
      </c>
      <c r="C10" s="40">
        <v>14</v>
      </c>
      <c r="D10" s="40">
        <v>28</v>
      </c>
      <c r="E10" s="35"/>
      <c r="F10" s="35" t="s">
        <v>75</v>
      </c>
      <c r="G10" s="35" t="s">
        <v>73</v>
      </c>
      <c r="H10" s="40">
        <v>7</v>
      </c>
      <c r="I10" s="40">
        <v>27</v>
      </c>
      <c r="J10" s="35"/>
      <c r="K10" s="35" t="s">
        <v>75</v>
      </c>
      <c r="L10" s="35" t="s">
        <v>73</v>
      </c>
      <c r="M10" s="40">
        <v>7</v>
      </c>
      <c r="N10" s="40">
        <v>29</v>
      </c>
      <c r="O10" s="35"/>
      <c r="P10" s="35" t="s">
        <v>75</v>
      </c>
      <c r="Q10" s="35" t="s">
        <v>73</v>
      </c>
      <c r="R10" s="35">
        <v>10</v>
      </c>
      <c r="S10" s="35">
        <v>45</v>
      </c>
      <c r="T10" s="35"/>
      <c r="U10" s="35" t="s">
        <v>75</v>
      </c>
      <c r="V10" s="35" t="s">
        <v>73</v>
      </c>
      <c r="W10" s="35">
        <v>10</v>
      </c>
      <c r="X10" s="35">
        <v>45</v>
      </c>
      <c r="Y10" s="35"/>
      <c r="Z10" s="35" t="s">
        <v>75</v>
      </c>
      <c r="AA10" s="35" t="s">
        <v>73</v>
      </c>
      <c r="AB10" s="35">
        <v>13</v>
      </c>
      <c r="AC10" s="35">
        <v>54</v>
      </c>
      <c r="AD10" s="35"/>
      <c r="AE10" s="35" t="s">
        <v>75</v>
      </c>
      <c r="AF10" s="35" t="s">
        <v>73</v>
      </c>
      <c r="AG10" s="35">
        <v>4</v>
      </c>
      <c r="AH10" s="35">
        <v>27</v>
      </c>
      <c r="AI10" s="35"/>
    </row>
    <row r="11" spans="1:35" x14ac:dyDescent="0.2">
      <c r="A11" s="35" t="s">
        <v>75</v>
      </c>
      <c r="B11" s="35" t="s">
        <v>74</v>
      </c>
      <c r="C11" s="40">
        <v>44</v>
      </c>
      <c r="D11" s="40">
        <v>88</v>
      </c>
      <c r="E11" s="35"/>
      <c r="F11" s="35" t="s">
        <v>75</v>
      </c>
      <c r="G11" s="35" t="s">
        <v>74</v>
      </c>
      <c r="H11" s="40">
        <v>24</v>
      </c>
      <c r="I11" s="40">
        <v>92</v>
      </c>
      <c r="J11" s="35"/>
      <c r="K11" s="35" t="s">
        <v>75</v>
      </c>
      <c r="L11" s="35" t="s">
        <v>74</v>
      </c>
      <c r="M11" s="40">
        <v>20</v>
      </c>
      <c r="N11" s="40">
        <v>83</v>
      </c>
      <c r="O11" s="35"/>
      <c r="P11" s="35" t="s">
        <v>75</v>
      </c>
      <c r="Q11" s="35" t="s">
        <v>74</v>
      </c>
      <c r="R11" s="35">
        <v>17</v>
      </c>
      <c r="S11" s="35">
        <v>77</v>
      </c>
      <c r="T11" s="35"/>
      <c r="U11" s="35" t="s">
        <v>75</v>
      </c>
      <c r="V11" s="35" t="s">
        <v>74</v>
      </c>
      <c r="W11" s="35">
        <v>21</v>
      </c>
      <c r="X11" s="35">
        <v>95</v>
      </c>
      <c r="Y11" s="35"/>
      <c r="Z11" s="35" t="s">
        <v>75</v>
      </c>
      <c r="AA11" s="35" t="s">
        <v>74</v>
      </c>
      <c r="AB11" s="35">
        <v>22</v>
      </c>
      <c r="AC11" s="35">
        <v>92</v>
      </c>
      <c r="AD11" s="35"/>
      <c r="AE11" s="35" t="s">
        <v>75</v>
      </c>
      <c r="AF11" s="35" t="s">
        <v>74</v>
      </c>
      <c r="AG11" s="35">
        <v>14</v>
      </c>
      <c r="AH11" s="35">
        <v>93</v>
      </c>
      <c r="AI11" s="35"/>
    </row>
    <row r="12" spans="1:35" x14ac:dyDescent="0.2">
      <c r="A12" s="35" t="s">
        <v>76</v>
      </c>
      <c r="B12" s="35" t="s">
        <v>73</v>
      </c>
      <c r="C12" s="40">
        <v>22</v>
      </c>
      <c r="D12" s="40">
        <v>44</v>
      </c>
      <c r="E12" s="35"/>
      <c r="F12" s="35" t="s">
        <v>76</v>
      </c>
      <c r="G12" s="35" t="s">
        <v>73</v>
      </c>
      <c r="H12" s="40">
        <v>12</v>
      </c>
      <c r="I12" s="40">
        <v>46</v>
      </c>
      <c r="J12" s="35"/>
      <c r="K12" s="35" t="s">
        <v>76</v>
      </c>
      <c r="L12" s="35" t="s">
        <v>73</v>
      </c>
      <c r="M12" s="40">
        <v>10</v>
      </c>
      <c r="N12" s="40">
        <v>42</v>
      </c>
      <c r="O12" s="35"/>
      <c r="P12" s="35" t="s">
        <v>76</v>
      </c>
      <c r="Q12" s="35" t="s">
        <v>73</v>
      </c>
      <c r="R12" s="35">
        <v>7</v>
      </c>
      <c r="S12" s="35">
        <v>32</v>
      </c>
      <c r="T12" s="35"/>
      <c r="U12" s="35" t="s">
        <v>76</v>
      </c>
      <c r="V12" s="35" t="s">
        <v>73</v>
      </c>
      <c r="W12" s="35">
        <v>10</v>
      </c>
      <c r="X12" s="35">
        <v>45</v>
      </c>
      <c r="Y12" s="35"/>
      <c r="Z12" s="35" t="s">
        <v>76</v>
      </c>
      <c r="AA12" s="35" t="s">
        <v>73</v>
      </c>
      <c r="AB12" s="35">
        <v>11</v>
      </c>
      <c r="AC12" s="35">
        <v>46</v>
      </c>
      <c r="AD12" s="35"/>
      <c r="AE12" s="35" t="s">
        <v>76</v>
      </c>
      <c r="AF12" s="35" t="s">
        <v>73</v>
      </c>
      <c r="AG12" s="35">
        <v>9</v>
      </c>
      <c r="AH12" s="35">
        <v>60</v>
      </c>
      <c r="AI12" s="35"/>
    </row>
    <row r="13" spans="1:35" x14ac:dyDescent="0.2">
      <c r="A13" s="35" t="s">
        <v>76</v>
      </c>
      <c r="B13" s="35" t="s">
        <v>74</v>
      </c>
      <c r="C13" s="40">
        <v>5</v>
      </c>
      <c r="D13" s="40">
        <v>10</v>
      </c>
      <c r="E13" s="35"/>
      <c r="F13" s="35" t="s">
        <v>76</v>
      </c>
      <c r="G13" s="35" t="s">
        <v>74</v>
      </c>
      <c r="H13" s="40">
        <v>1</v>
      </c>
      <c r="I13" s="40">
        <v>4</v>
      </c>
      <c r="J13" s="35"/>
      <c r="K13" s="35" t="s">
        <v>76</v>
      </c>
      <c r="L13" s="35" t="s">
        <v>74</v>
      </c>
      <c r="M13" s="40">
        <v>4</v>
      </c>
      <c r="N13" s="40">
        <v>17</v>
      </c>
      <c r="O13" s="35"/>
      <c r="P13" s="35" t="s">
        <v>76</v>
      </c>
      <c r="Q13" s="35" t="s">
        <v>74</v>
      </c>
      <c r="R13" s="35">
        <v>5</v>
      </c>
      <c r="S13" s="35">
        <v>23</v>
      </c>
      <c r="T13" s="35"/>
      <c r="U13" s="35" t="s">
        <v>76</v>
      </c>
      <c r="V13" s="35" t="s">
        <v>74</v>
      </c>
      <c r="W13" s="35">
        <v>1</v>
      </c>
      <c r="X13" s="35">
        <v>5</v>
      </c>
      <c r="Y13" s="35"/>
      <c r="Z13" s="35" t="s">
        <v>76</v>
      </c>
      <c r="AA13" s="35" t="s">
        <v>74</v>
      </c>
      <c r="AB13" s="35">
        <v>2</v>
      </c>
      <c r="AC13" s="35">
        <v>8</v>
      </c>
      <c r="AD13" s="35"/>
      <c r="AE13" s="35" t="s">
        <v>76</v>
      </c>
      <c r="AF13" s="35" t="s">
        <v>74</v>
      </c>
      <c r="AG13" s="35">
        <v>1</v>
      </c>
      <c r="AH13" s="35">
        <v>7</v>
      </c>
      <c r="AI13" s="35"/>
    </row>
  </sheetData>
  <pageMargins left="0.70000000000000007" right="0.70000000000000007" top="0.75" bottom="0.75" header="0.30000000000000004" footer="0.30000000000000004"/>
  <pageSetup paperSize="0" fitToWidth="0" fitToHeight="0" orientation="portrait" horizontalDpi="0" verticalDpi="0" copies="0"/>
  <headerFooter>
    <oddHeader>&amp;C&amp;"Aptos"&amp;10&amp;K000000 CLASSIFICATION: CONFIDENTIAL - COMMERCIAL IN CONFIDENCE&amp;1#_x000D_</oddHeader>
  </headerFooter>
  <tableParts count="7">
    <tablePart r:id="rId1"/>
    <tablePart r:id="rId2"/>
    <tablePart r:id="rId3"/>
    <tablePart r:id="rId4"/>
    <tablePart r:id="rId5"/>
    <tablePart r:id="rId6"/>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66DE3-8AF1-46EE-A9B7-95B05FACDC56}">
  <dimension ref="A1:AC59"/>
  <sheetViews>
    <sheetView topLeftCell="A8" workbookViewId="0"/>
  </sheetViews>
  <sheetFormatPr defaultColWidth="9.21875" defaultRowHeight="15" x14ac:dyDescent="0.25"/>
  <cols>
    <col min="1" max="1" width="45" style="41" customWidth="1"/>
    <col min="2" max="3" width="22.44140625" style="41" customWidth="1"/>
    <col min="4" max="4" width="31.109375" style="41" customWidth="1"/>
    <col min="5" max="5" width="39.5546875" style="41" customWidth="1"/>
    <col min="6" max="6" width="23.6640625" style="41" customWidth="1"/>
    <col min="7" max="7" width="31.33203125" style="41" customWidth="1"/>
    <col min="8" max="8" width="39.5546875" style="41" customWidth="1"/>
    <col min="9" max="9" width="23.88671875" style="41" customWidth="1"/>
    <col min="10" max="10" width="7.21875" style="41" customWidth="1"/>
    <col min="11" max="11" width="44.6640625" style="41" customWidth="1"/>
    <col min="12" max="13" width="22.44140625" style="41" customWidth="1"/>
    <col min="14" max="14" width="31.109375" style="41" customWidth="1"/>
    <col min="15" max="15" width="39.5546875" style="41" customWidth="1"/>
    <col min="16" max="16" width="23.88671875" style="41" customWidth="1"/>
    <col min="17" max="17" width="31.33203125" style="41" customWidth="1"/>
    <col min="18" max="18" width="39.5546875" style="41" customWidth="1"/>
    <col min="19" max="19" width="24.109375" style="41" customWidth="1"/>
    <col min="20" max="20" width="7.21875" style="41" customWidth="1"/>
    <col min="21" max="21" width="44.77734375" style="41" customWidth="1"/>
    <col min="22" max="23" width="22.44140625" style="41" customWidth="1"/>
    <col min="24" max="24" width="31.109375" style="41" customWidth="1"/>
    <col min="25" max="25" width="39.5546875" style="41" customWidth="1"/>
    <col min="26" max="26" width="23.88671875" style="41" customWidth="1"/>
    <col min="27" max="27" width="31.33203125" style="41" customWidth="1"/>
    <col min="28" max="28" width="39.5546875" style="41" customWidth="1"/>
    <col min="29" max="29" width="24.109375" style="41" customWidth="1"/>
    <col min="30" max="31" width="7.21875" style="41" customWidth="1"/>
    <col min="32" max="32" width="9.21875" style="41" customWidth="1"/>
    <col min="33" max="16384" width="9.21875" style="41"/>
  </cols>
  <sheetData>
    <row r="1" spans="1:29" ht="18" x14ac:dyDescent="0.25">
      <c r="A1" s="28" t="s">
        <v>27</v>
      </c>
    </row>
    <row r="2" spans="1:29" ht="15.75" x14ac:dyDescent="0.25">
      <c r="A2" s="6" t="s">
        <v>77</v>
      </c>
    </row>
    <row r="3" spans="1:29" ht="15.75" x14ac:dyDescent="0.25">
      <c r="A3" s="6" t="s">
        <v>78</v>
      </c>
    </row>
    <row r="4" spans="1:29" ht="15.75" x14ac:dyDescent="0.25">
      <c r="A4" s="6" t="s">
        <v>43</v>
      </c>
    </row>
    <row r="5" spans="1:29" ht="15.75" x14ac:dyDescent="0.25">
      <c r="A5" s="6" t="s">
        <v>79</v>
      </c>
    </row>
    <row r="6" spans="1:29" ht="15.75" x14ac:dyDescent="0.25">
      <c r="A6" s="6" t="s">
        <v>80</v>
      </c>
    </row>
    <row r="7" spans="1:29" ht="15.75" x14ac:dyDescent="0.25">
      <c r="A7" s="6" t="s">
        <v>44</v>
      </c>
    </row>
    <row r="8" spans="1:29" ht="31.5" x14ac:dyDescent="0.25">
      <c r="A8" s="29" t="s">
        <v>81</v>
      </c>
      <c r="K8" s="29" t="s">
        <v>82</v>
      </c>
      <c r="U8" s="42" t="s">
        <v>83</v>
      </c>
    </row>
    <row r="9" spans="1:29" ht="18.75" x14ac:dyDescent="0.25">
      <c r="A9" s="43" t="s">
        <v>84</v>
      </c>
      <c r="B9" s="43" t="s">
        <v>85</v>
      </c>
      <c r="C9" s="43" t="s">
        <v>86</v>
      </c>
      <c r="D9" s="43" t="s">
        <v>87</v>
      </c>
      <c r="E9" s="43" t="s">
        <v>88</v>
      </c>
      <c r="F9" s="43" t="s">
        <v>89</v>
      </c>
      <c r="G9" s="43" t="s">
        <v>90</v>
      </c>
      <c r="H9" s="43" t="s">
        <v>91</v>
      </c>
      <c r="I9" s="43" t="s">
        <v>92</v>
      </c>
      <c r="K9" s="43" t="s">
        <v>84</v>
      </c>
      <c r="L9" s="43" t="s">
        <v>85</v>
      </c>
      <c r="M9" s="43" t="s">
        <v>86</v>
      </c>
      <c r="N9" s="43" t="s">
        <v>93</v>
      </c>
      <c r="O9" s="43" t="s">
        <v>88</v>
      </c>
      <c r="P9" s="43" t="s">
        <v>94</v>
      </c>
      <c r="Q9" s="43" t="s">
        <v>90</v>
      </c>
      <c r="R9" s="43" t="s">
        <v>91</v>
      </c>
      <c r="S9" s="43" t="s">
        <v>95</v>
      </c>
      <c r="U9" s="43" t="s">
        <v>84</v>
      </c>
      <c r="V9" s="43" t="s">
        <v>85</v>
      </c>
      <c r="W9" s="43" t="s">
        <v>86</v>
      </c>
      <c r="X9" s="43" t="s">
        <v>93</v>
      </c>
      <c r="Y9" s="43" t="s">
        <v>88</v>
      </c>
      <c r="Z9" s="43" t="s">
        <v>94</v>
      </c>
      <c r="AA9" s="43" t="s">
        <v>90</v>
      </c>
      <c r="AB9" s="43" t="s">
        <v>91</v>
      </c>
      <c r="AC9" s="43" t="s">
        <v>95</v>
      </c>
    </row>
    <row r="10" spans="1:29" ht="15.75" x14ac:dyDescent="0.25">
      <c r="A10" s="44" t="s">
        <v>96</v>
      </c>
      <c r="B10" s="44" t="s">
        <v>97</v>
      </c>
      <c r="C10" s="44" t="s">
        <v>98</v>
      </c>
      <c r="D10" s="45">
        <v>89</v>
      </c>
      <c r="E10" s="44" t="s">
        <v>99</v>
      </c>
      <c r="F10" s="44" t="s">
        <v>100</v>
      </c>
      <c r="G10" s="44">
        <v>-3</v>
      </c>
      <c r="H10" s="44"/>
      <c r="I10" s="44" t="s">
        <v>101</v>
      </c>
      <c r="K10" s="44" t="s">
        <v>96</v>
      </c>
      <c r="L10" s="44" t="str">
        <f t="shared" ref="L10:L53" si="0">VLOOKUP(K10,$A$10:$B$59,2,(FALSE))</f>
        <v>Polyommatus bellargus</v>
      </c>
      <c r="M10" s="44" t="s">
        <v>98</v>
      </c>
      <c r="N10" s="44">
        <v>54</v>
      </c>
      <c r="P10" s="44" t="s">
        <v>101</v>
      </c>
      <c r="Q10" s="44">
        <v>-3</v>
      </c>
      <c r="S10" s="44" t="s">
        <v>101</v>
      </c>
      <c r="U10" s="44" t="s">
        <v>102</v>
      </c>
      <c r="V10" s="44" t="str">
        <f t="shared" ref="V10:V48" si="1">VLOOKUP(U10,$A$10:$B$59,2,(FALSE))</f>
        <v>Gonepteryx rhamni</v>
      </c>
      <c r="W10" s="44" t="s">
        <v>103</v>
      </c>
      <c r="X10" s="44">
        <v>8</v>
      </c>
      <c r="Z10" s="44" t="s">
        <v>101</v>
      </c>
      <c r="AA10" s="44">
        <v>5</v>
      </c>
      <c r="AC10" s="44" t="s">
        <v>101</v>
      </c>
    </row>
    <row r="11" spans="1:29" ht="15.75" x14ac:dyDescent="0.25">
      <c r="A11" s="44" t="s">
        <v>104</v>
      </c>
      <c r="B11" s="44" t="s">
        <v>105</v>
      </c>
      <c r="C11" s="44" t="s">
        <v>98</v>
      </c>
      <c r="D11" s="45">
        <v>528</v>
      </c>
      <c r="E11" s="44" t="s">
        <v>106</v>
      </c>
      <c r="F11" s="44" t="s">
        <v>100</v>
      </c>
      <c r="G11" s="44">
        <v>277</v>
      </c>
      <c r="H11" s="44"/>
      <c r="I11" s="44" t="s">
        <v>101</v>
      </c>
      <c r="K11" s="44" t="s">
        <v>102</v>
      </c>
      <c r="L11" s="44" t="str">
        <f t="shared" si="0"/>
        <v>Gonepteryx rhamni</v>
      </c>
      <c r="M11" s="44" t="s">
        <v>103</v>
      </c>
      <c r="N11" s="45">
        <v>76</v>
      </c>
      <c r="O11" s="44" t="s">
        <v>107</v>
      </c>
      <c r="P11" s="44" t="s">
        <v>100</v>
      </c>
      <c r="Q11" s="44">
        <v>24</v>
      </c>
      <c r="S11" s="44" t="s">
        <v>101</v>
      </c>
      <c r="U11" s="44" t="s">
        <v>108</v>
      </c>
      <c r="V11" s="44" t="str">
        <f t="shared" si="1"/>
        <v>Aricia agestis</v>
      </c>
      <c r="W11" s="44" t="s">
        <v>103</v>
      </c>
      <c r="X11" s="44">
        <v>10</v>
      </c>
      <c r="Z11" s="44" t="s">
        <v>101</v>
      </c>
      <c r="AA11" s="44">
        <v>111</v>
      </c>
      <c r="AC11" s="44" t="s">
        <v>101</v>
      </c>
    </row>
    <row r="12" spans="1:29" ht="15.75" x14ac:dyDescent="0.25">
      <c r="A12" s="44" t="s">
        <v>102</v>
      </c>
      <c r="B12" s="44" t="s">
        <v>109</v>
      </c>
      <c r="C12" s="44" t="s">
        <v>103</v>
      </c>
      <c r="D12" s="45">
        <v>43</v>
      </c>
      <c r="E12" s="44" t="s">
        <v>106</v>
      </c>
      <c r="F12" s="44" t="s">
        <v>100</v>
      </c>
      <c r="G12" s="44">
        <v>16</v>
      </c>
      <c r="H12" s="44"/>
      <c r="I12" s="44" t="s">
        <v>101</v>
      </c>
      <c r="K12" s="44" t="s">
        <v>108</v>
      </c>
      <c r="L12" s="44" t="str">
        <f t="shared" si="0"/>
        <v>Aricia agestis</v>
      </c>
      <c r="M12" s="44" t="s">
        <v>103</v>
      </c>
      <c r="N12" s="44">
        <v>5</v>
      </c>
      <c r="P12" s="44" t="s">
        <v>101</v>
      </c>
      <c r="Q12" s="44">
        <v>30</v>
      </c>
      <c r="S12" s="44" t="s">
        <v>101</v>
      </c>
      <c r="U12" s="44" t="s">
        <v>110</v>
      </c>
      <c r="V12" s="44" t="str">
        <f t="shared" si="1"/>
        <v>Thecla betulae</v>
      </c>
      <c r="W12" s="44" t="s">
        <v>98</v>
      </c>
      <c r="X12" s="44">
        <v>13</v>
      </c>
      <c r="Z12" s="44" t="s">
        <v>101</v>
      </c>
      <c r="AA12" s="44">
        <v>23</v>
      </c>
      <c r="AC12" s="44" t="s">
        <v>101</v>
      </c>
    </row>
    <row r="13" spans="1:29" ht="15.75" x14ac:dyDescent="0.25">
      <c r="A13" s="44" t="s">
        <v>108</v>
      </c>
      <c r="B13" s="44" t="s">
        <v>111</v>
      </c>
      <c r="C13" s="44" t="s">
        <v>103</v>
      </c>
      <c r="D13" s="44">
        <v>32</v>
      </c>
      <c r="E13" s="44"/>
      <c r="F13" s="44" t="s">
        <v>101</v>
      </c>
      <c r="G13" s="44">
        <v>47</v>
      </c>
      <c r="H13" s="44"/>
      <c r="I13" s="44" t="s">
        <v>101</v>
      </c>
      <c r="K13" s="44" t="s">
        <v>110</v>
      </c>
      <c r="L13" s="44" t="str">
        <f t="shared" si="0"/>
        <v>Thecla betulae</v>
      </c>
      <c r="M13" s="44" t="s">
        <v>98</v>
      </c>
      <c r="N13" s="44">
        <v>-39</v>
      </c>
      <c r="P13" s="44" t="s">
        <v>101</v>
      </c>
      <c r="Q13" s="44">
        <v>46</v>
      </c>
      <c r="S13" s="44" t="s">
        <v>101</v>
      </c>
      <c r="U13" s="44" t="s">
        <v>112</v>
      </c>
      <c r="V13" s="44" t="str">
        <f t="shared" si="1"/>
        <v>Polygonia c-album</v>
      </c>
      <c r="W13" s="44" t="s">
        <v>103</v>
      </c>
      <c r="X13" s="44">
        <v>4</v>
      </c>
      <c r="Z13" s="44" t="s">
        <v>101</v>
      </c>
      <c r="AA13" s="44">
        <v>2</v>
      </c>
      <c r="AC13" s="44" t="s">
        <v>101</v>
      </c>
    </row>
    <row r="14" spans="1:29" ht="15.75" x14ac:dyDescent="0.25">
      <c r="A14" s="44" t="s">
        <v>110</v>
      </c>
      <c r="B14" s="44" t="s">
        <v>113</v>
      </c>
      <c r="C14" s="44" t="s">
        <v>98</v>
      </c>
      <c r="D14" s="44">
        <v>-12</v>
      </c>
      <c r="E14" s="44"/>
      <c r="F14" s="44" t="s">
        <v>101</v>
      </c>
      <c r="G14" s="44">
        <v>-21</v>
      </c>
      <c r="H14" s="44"/>
      <c r="I14" s="44" t="s">
        <v>101</v>
      </c>
      <c r="K14" s="44" t="s">
        <v>114</v>
      </c>
      <c r="L14" s="44" t="str">
        <f t="shared" si="0"/>
        <v>Polyommatus coridon</v>
      </c>
      <c r="M14" s="44" t="s">
        <v>98</v>
      </c>
      <c r="N14" s="44">
        <v>-8</v>
      </c>
      <c r="P14" s="44" t="s">
        <v>101</v>
      </c>
      <c r="Q14" s="44">
        <v>43</v>
      </c>
      <c r="S14" s="44" t="s">
        <v>101</v>
      </c>
      <c r="U14" s="44" t="s">
        <v>115</v>
      </c>
      <c r="V14" s="44" t="str">
        <f t="shared" si="1"/>
        <v>Polyommatus icarus</v>
      </c>
      <c r="W14" s="44" t="s">
        <v>103</v>
      </c>
      <c r="X14" s="45">
        <v>-62</v>
      </c>
      <c r="Y14" s="44" t="s">
        <v>116</v>
      </c>
      <c r="Z14" s="44" t="s">
        <v>117</v>
      </c>
      <c r="AA14" s="44">
        <v>-37</v>
      </c>
      <c r="AC14" s="44" t="s">
        <v>101</v>
      </c>
    </row>
    <row r="15" spans="1:29" ht="15.75" x14ac:dyDescent="0.25">
      <c r="A15" s="44" t="s">
        <v>114</v>
      </c>
      <c r="B15" s="44" t="s">
        <v>118</v>
      </c>
      <c r="C15" s="44" t="s">
        <v>98</v>
      </c>
      <c r="D15" s="44">
        <v>-1</v>
      </c>
      <c r="E15" s="44"/>
      <c r="F15" s="44" t="s">
        <v>101</v>
      </c>
      <c r="G15" s="44">
        <v>44</v>
      </c>
      <c r="H15" s="44"/>
      <c r="I15" s="44" t="s">
        <v>101</v>
      </c>
      <c r="K15" s="44" t="s">
        <v>115</v>
      </c>
      <c r="L15" s="44" t="str">
        <f t="shared" si="0"/>
        <v>Polyommatus icarus</v>
      </c>
      <c r="M15" s="44" t="s">
        <v>103</v>
      </c>
      <c r="N15" s="44">
        <v>-20</v>
      </c>
      <c r="P15" s="44" t="s">
        <v>101</v>
      </c>
      <c r="Q15" s="44">
        <v>-21</v>
      </c>
      <c r="S15" s="44" t="s">
        <v>101</v>
      </c>
      <c r="U15" s="44" t="s">
        <v>119</v>
      </c>
      <c r="V15" s="44" t="str">
        <f t="shared" si="1"/>
        <v>Argynnis aglaja</v>
      </c>
      <c r="W15" s="44" t="s">
        <v>98</v>
      </c>
      <c r="X15" s="44">
        <v>82</v>
      </c>
      <c r="Z15" s="44" t="s">
        <v>101</v>
      </c>
      <c r="AA15" s="44">
        <v>27</v>
      </c>
      <c r="AC15" s="44" t="s">
        <v>101</v>
      </c>
    </row>
    <row r="16" spans="1:29" ht="15.75" x14ac:dyDescent="0.25">
      <c r="A16" s="44" t="s">
        <v>112</v>
      </c>
      <c r="B16" s="44" t="s">
        <v>120</v>
      </c>
      <c r="C16" s="44" t="s">
        <v>103</v>
      </c>
      <c r="D16" s="45">
        <v>186</v>
      </c>
      <c r="E16" s="44" t="s">
        <v>107</v>
      </c>
      <c r="F16" s="44" t="s">
        <v>100</v>
      </c>
      <c r="G16" s="44">
        <v>21</v>
      </c>
      <c r="H16" s="44"/>
      <c r="I16" s="44" t="s">
        <v>101</v>
      </c>
      <c r="K16" s="44" t="s">
        <v>119</v>
      </c>
      <c r="L16" s="44" t="str">
        <f t="shared" si="0"/>
        <v>Argynnis aglaja</v>
      </c>
      <c r="M16" s="44" t="s">
        <v>98</v>
      </c>
      <c r="N16" s="45">
        <v>281</v>
      </c>
      <c r="O16" s="44" t="s">
        <v>107</v>
      </c>
      <c r="P16" s="44" t="s">
        <v>100</v>
      </c>
      <c r="Q16" s="44">
        <v>85</v>
      </c>
      <c r="S16" s="44" t="s">
        <v>101</v>
      </c>
      <c r="U16" s="44" t="s">
        <v>121</v>
      </c>
      <c r="V16" s="44" t="str">
        <f t="shared" si="1"/>
        <v>Erynnis tages</v>
      </c>
      <c r="W16" s="44" t="s">
        <v>98</v>
      </c>
      <c r="X16" s="45">
        <v>-67</v>
      </c>
      <c r="Y16" s="44" t="s">
        <v>107</v>
      </c>
      <c r="Z16" s="44" t="s">
        <v>117</v>
      </c>
      <c r="AA16" s="45">
        <v>-53</v>
      </c>
      <c r="AB16" s="44" t="s">
        <v>99</v>
      </c>
      <c r="AC16" s="44" t="s">
        <v>117</v>
      </c>
    </row>
    <row r="17" spans="1:29" ht="15.75" x14ac:dyDescent="0.25">
      <c r="A17" s="44" t="s">
        <v>115</v>
      </c>
      <c r="B17" s="44" t="s">
        <v>122</v>
      </c>
      <c r="C17" s="44" t="s">
        <v>103</v>
      </c>
      <c r="D17" s="44">
        <v>-22</v>
      </c>
      <c r="E17" s="44"/>
      <c r="F17" s="44" t="s">
        <v>101</v>
      </c>
      <c r="G17" s="44">
        <v>-27</v>
      </c>
      <c r="H17" s="44"/>
      <c r="I17" s="44" t="s">
        <v>101</v>
      </c>
      <c r="K17" s="44" t="s">
        <v>121</v>
      </c>
      <c r="L17" s="44" t="str">
        <f t="shared" si="0"/>
        <v>Erynnis tages</v>
      </c>
      <c r="M17" s="44" t="s">
        <v>98</v>
      </c>
      <c r="N17" s="44">
        <v>29</v>
      </c>
      <c r="P17" s="44" t="s">
        <v>101</v>
      </c>
      <c r="Q17" s="44">
        <v>5</v>
      </c>
      <c r="S17" s="44" t="s">
        <v>101</v>
      </c>
      <c r="U17" s="44" t="s">
        <v>123</v>
      </c>
      <c r="V17" s="44" t="str">
        <f t="shared" si="1"/>
        <v>Hamearis lucina</v>
      </c>
      <c r="W17" s="44" t="s">
        <v>98</v>
      </c>
      <c r="X17" s="45">
        <v>-91</v>
      </c>
      <c r="Y17" s="44" t="s">
        <v>107</v>
      </c>
      <c r="Z17" s="44" t="s">
        <v>117</v>
      </c>
      <c r="AA17" s="44">
        <v>-14</v>
      </c>
      <c r="AC17" s="44" t="s">
        <v>101</v>
      </c>
    </row>
    <row r="18" spans="1:29" ht="15.75" x14ac:dyDescent="0.25">
      <c r="A18" s="44" t="s">
        <v>119</v>
      </c>
      <c r="B18" s="44" t="s">
        <v>124</v>
      </c>
      <c r="C18" s="44" t="s">
        <v>98</v>
      </c>
      <c r="D18" s="45">
        <v>296</v>
      </c>
      <c r="E18" s="44" t="s">
        <v>107</v>
      </c>
      <c r="F18" s="44" t="s">
        <v>100</v>
      </c>
      <c r="G18" s="44">
        <v>61</v>
      </c>
      <c r="H18" s="44"/>
      <c r="I18" s="44" t="s">
        <v>101</v>
      </c>
      <c r="K18" s="44" t="s">
        <v>123</v>
      </c>
      <c r="L18" s="44" t="str">
        <f t="shared" si="0"/>
        <v>Hamearis lucina</v>
      </c>
      <c r="M18" s="44" t="s">
        <v>98</v>
      </c>
      <c r="N18" s="44">
        <v>-26</v>
      </c>
      <c r="P18" s="44" t="s">
        <v>101</v>
      </c>
      <c r="Q18" s="44">
        <v>20</v>
      </c>
      <c r="S18" s="44" t="s">
        <v>101</v>
      </c>
      <c r="U18" s="44" t="s">
        <v>125</v>
      </c>
      <c r="V18" s="44" t="str">
        <f t="shared" si="1"/>
        <v>Thymelicus sylvestris/lineola</v>
      </c>
      <c r="W18" s="44" t="s">
        <v>103</v>
      </c>
      <c r="X18" s="45">
        <v>-75</v>
      </c>
      <c r="Y18" s="44" t="s">
        <v>107</v>
      </c>
      <c r="Z18" s="44" t="s">
        <v>117</v>
      </c>
      <c r="AA18" s="44">
        <v>-23</v>
      </c>
      <c r="AC18" s="44" t="s">
        <v>101</v>
      </c>
    </row>
    <row r="19" spans="1:29" ht="15.75" x14ac:dyDescent="0.25">
      <c r="A19" s="44" t="s">
        <v>121</v>
      </c>
      <c r="B19" s="44" t="s">
        <v>126</v>
      </c>
      <c r="C19" s="44" t="s">
        <v>98</v>
      </c>
      <c r="D19" s="44">
        <v>-4</v>
      </c>
      <c r="E19" s="44"/>
      <c r="F19" s="44" t="s">
        <v>101</v>
      </c>
      <c r="G19" s="44">
        <v>-7</v>
      </c>
      <c r="H19" s="44"/>
      <c r="I19" s="44" t="s">
        <v>101</v>
      </c>
      <c r="K19" s="44" t="s">
        <v>125</v>
      </c>
      <c r="L19" s="44" t="str">
        <f t="shared" si="0"/>
        <v>Thymelicus sylvestris/lineola</v>
      </c>
      <c r="M19" s="44" t="s">
        <v>103</v>
      </c>
      <c r="N19" s="45">
        <v>-34</v>
      </c>
      <c r="O19" s="44" t="s">
        <v>99</v>
      </c>
      <c r="P19" s="44" t="s">
        <v>117</v>
      </c>
      <c r="Q19" s="44">
        <v>-13</v>
      </c>
      <c r="S19" s="44" t="s">
        <v>101</v>
      </c>
      <c r="U19" s="44" t="s">
        <v>127</v>
      </c>
      <c r="V19" s="44" t="str">
        <f t="shared" si="1"/>
        <v>Pyronia tithonus</v>
      </c>
      <c r="W19" s="44" t="s">
        <v>103</v>
      </c>
      <c r="X19" s="45">
        <v>-57</v>
      </c>
      <c r="Y19" s="44" t="s">
        <v>107</v>
      </c>
      <c r="Z19" s="44" t="s">
        <v>117</v>
      </c>
      <c r="AA19" s="44">
        <v>52</v>
      </c>
      <c r="AC19" s="44" t="s">
        <v>101</v>
      </c>
    </row>
    <row r="20" spans="1:29" ht="15.75" x14ac:dyDescent="0.25">
      <c r="A20" s="44" t="s">
        <v>123</v>
      </c>
      <c r="B20" s="44" t="s">
        <v>128</v>
      </c>
      <c r="C20" s="44" t="s">
        <v>98</v>
      </c>
      <c r="D20" s="45">
        <v>-35</v>
      </c>
      <c r="E20" s="44" t="s">
        <v>99</v>
      </c>
      <c r="F20" s="44" t="s">
        <v>117</v>
      </c>
      <c r="G20" s="44">
        <v>12</v>
      </c>
      <c r="H20" s="44"/>
      <c r="I20" s="44" t="s">
        <v>101</v>
      </c>
      <c r="K20" s="44" t="s">
        <v>127</v>
      </c>
      <c r="L20" s="44" t="str">
        <f t="shared" si="0"/>
        <v>Pyronia tithonus</v>
      </c>
      <c r="M20" s="44" t="s">
        <v>103</v>
      </c>
      <c r="N20" s="45">
        <v>-40</v>
      </c>
      <c r="O20" s="44" t="s">
        <v>106</v>
      </c>
      <c r="P20" s="44" t="s">
        <v>117</v>
      </c>
      <c r="Q20" s="44">
        <v>38</v>
      </c>
      <c r="S20" s="44" t="s">
        <v>101</v>
      </c>
      <c r="U20" s="44" t="s">
        <v>129</v>
      </c>
      <c r="V20" s="44" t="str">
        <f t="shared" si="1"/>
        <v>Hipparchia semele</v>
      </c>
      <c r="W20" s="44" t="s">
        <v>98</v>
      </c>
      <c r="X20" s="44">
        <v>-39</v>
      </c>
      <c r="Z20" s="44" t="s">
        <v>101</v>
      </c>
      <c r="AA20" s="44">
        <v>18</v>
      </c>
      <c r="AC20" s="44" t="s">
        <v>101</v>
      </c>
    </row>
    <row r="21" spans="1:29" ht="15.75" x14ac:dyDescent="0.25">
      <c r="A21" s="44" t="s">
        <v>125</v>
      </c>
      <c r="B21" s="44" t="s">
        <v>130</v>
      </c>
      <c r="C21" s="44" t="s">
        <v>103</v>
      </c>
      <c r="D21" s="45">
        <v>-36</v>
      </c>
      <c r="E21" s="44" t="s">
        <v>106</v>
      </c>
      <c r="F21" s="44" t="s">
        <v>117</v>
      </c>
      <c r="G21" s="44">
        <v>-17</v>
      </c>
      <c r="H21" s="44"/>
      <c r="I21" s="44" t="s">
        <v>101</v>
      </c>
      <c r="K21" s="44" t="s">
        <v>129</v>
      </c>
      <c r="L21" s="44" t="str">
        <f t="shared" si="0"/>
        <v>Hipparchia semele</v>
      </c>
      <c r="M21" s="44" t="s">
        <v>98</v>
      </c>
      <c r="N21" s="45">
        <v>-58</v>
      </c>
      <c r="O21" s="44" t="s">
        <v>107</v>
      </c>
      <c r="P21" s="44" t="s">
        <v>117</v>
      </c>
      <c r="Q21" s="44">
        <v>33</v>
      </c>
      <c r="S21" s="44" t="s">
        <v>101</v>
      </c>
      <c r="U21" s="44" t="s">
        <v>131</v>
      </c>
      <c r="V21" s="44" t="str">
        <f t="shared" si="1"/>
        <v>Callophrys rubi</v>
      </c>
      <c r="W21" s="44" t="s">
        <v>98</v>
      </c>
      <c r="X21" s="45">
        <v>-60</v>
      </c>
      <c r="Y21" s="44" t="s">
        <v>107</v>
      </c>
      <c r="Z21" s="44" t="s">
        <v>117</v>
      </c>
      <c r="AA21" s="44">
        <v>-31</v>
      </c>
      <c r="AC21" s="44" t="s">
        <v>101</v>
      </c>
    </row>
    <row r="22" spans="1:29" ht="15.75" x14ac:dyDescent="0.25">
      <c r="A22" s="44" t="s">
        <v>127</v>
      </c>
      <c r="B22" s="44" t="s">
        <v>132</v>
      </c>
      <c r="C22" s="44" t="s">
        <v>103</v>
      </c>
      <c r="D22" s="45">
        <v>-37</v>
      </c>
      <c r="E22" s="44" t="s">
        <v>106</v>
      </c>
      <c r="F22" s="44" t="s">
        <v>117</v>
      </c>
      <c r="G22" s="44">
        <v>34</v>
      </c>
      <c r="H22" s="44"/>
      <c r="I22" s="44" t="s">
        <v>101</v>
      </c>
      <c r="K22" s="44" t="s">
        <v>131</v>
      </c>
      <c r="L22" s="44" t="str">
        <f t="shared" si="0"/>
        <v>Callophrys rubi</v>
      </c>
      <c r="M22" s="44" t="s">
        <v>98</v>
      </c>
      <c r="N22" s="45">
        <v>-32</v>
      </c>
      <c r="O22" s="44" t="s">
        <v>99</v>
      </c>
      <c r="P22" s="44" t="s">
        <v>117</v>
      </c>
      <c r="Q22" s="44">
        <v>-22</v>
      </c>
      <c r="S22" s="44" t="s">
        <v>101</v>
      </c>
      <c r="U22" s="44" t="s">
        <v>133</v>
      </c>
      <c r="V22" s="44" t="str">
        <f t="shared" si="1"/>
        <v>Pieris napi</v>
      </c>
      <c r="W22" s="44" t="s">
        <v>103</v>
      </c>
      <c r="X22" s="44">
        <v>-21</v>
      </c>
      <c r="Z22" s="44" t="s">
        <v>101</v>
      </c>
      <c r="AA22" s="44">
        <v>-27</v>
      </c>
      <c r="AC22" s="44" t="s">
        <v>101</v>
      </c>
    </row>
    <row r="23" spans="1:29" ht="15.75" x14ac:dyDescent="0.25">
      <c r="A23" s="44" t="s">
        <v>129</v>
      </c>
      <c r="B23" s="44" t="s">
        <v>134</v>
      </c>
      <c r="C23" s="44" t="s">
        <v>98</v>
      </c>
      <c r="D23" s="45">
        <v>-71</v>
      </c>
      <c r="E23" s="44" t="s">
        <v>107</v>
      </c>
      <c r="F23" s="44" t="s">
        <v>117</v>
      </c>
      <c r="G23" s="44">
        <v>17</v>
      </c>
      <c r="H23" s="44"/>
      <c r="I23" s="44" t="s">
        <v>101</v>
      </c>
      <c r="K23" s="44" t="s">
        <v>133</v>
      </c>
      <c r="L23" s="44" t="str">
        <f t="shared" si="0"/>
        <v>Pieris napi</v>
      </c>
      <c r="M23" s="44" t="s">
        <v>103</v>
      </c>
      <c r="N23" s="44">
        <v>-16</v>
      </c>
      <c r="P23" s="44" t="s">
        <v>101</v>
      </c>
      <c r="Q23" s="45">
        <v>-39</v>
      </c>
      <c r="R23" s="44" t="s">
        <v>99</v>
      </c>
      <c r="S23" s="44" t="s">
        <v>117</v>
      </c>
      <c r="U23" s="44" t="s">
        <v>135</v>
      </c>
      <c r="V23" s="44" t="str">
        <f t="shared" si="1"/>
        <v>Pyrgus malvae</v>
      </c>
      <c r="W23" s="44" t="s">
        <v>98</v>
      </c>
      <c r="X23" s="45">
        <v>-88</v>
      </c>
      <c r="Y23" s="44" t="s">
        <v>107</v>
      </c>
      <c r="Z23" s="44" t="s">
        <v>117</v>
      </c>
      <c r="AA23" s="45">
        <v>-54</v>
      </c>
      <c r="AB23" s="44" t="s">
        <v>99</v>
      </c>
      <c r="AC23" s="44" t="s">
        <v>117</v>
      </c>
    </row>
    <row r="24" spans="1:29" ht="15.75" x14ac:dyDescent="0.25">
      <c r="A24" s="44" t="s">
        <v>131</v>
      </c>
      <c r="B24" s="44" t="s">
        <v>136</v>
      </c>
      <c r="C24" s="44" t="s">
        <v>98</v>
      </c>
      <c r="D24" s="45">
        <v>-31</v>
      </c>
      <c r="E24" s="44" t="s">
        <v>99</v>
      </c>
      <c r="F24" s="44" t="s">
        <v>117</v>
      </c>
      <c r="G24" s="44">
        <v>-10</v>
      </c>
      <c r="H24" s="44"/>
      <c r="I24" s="44" t="s">
        <v>101</v>
      </c>
      <c r="K24" s="44" t="s">
        <v>135</v>
      </c>
      <c r="L24" s="44" t="str">
        <f t="shared" si="0"/>
        <v>Pyrgus malvae</v>
      </c>
      <c r="M24" s="44" t="s">
        <v>98</v>
      </c>
      <c r="N24" s="44">
        <v>-15</v>
      </c>
      <c r="P24" s="44" t="s">
        <v>101</v>
      </c>
      <c r="Q24" s="44">
        <v>18</v>
      </c>
      <c r="S24" s="44" t="s">
        <v>101</v>
      </c>
      <c r="U24" s="44" t="s">
        <v>137</v>
      </c>
      <c r="V24" s="44" t="str">
        <f t="shared" si="1"/>
        <v>Melitaea athalia</v>
      </c>
      <c r="W24" s="44" t="s">
        <v>98</v>
      </c>
      <c r="X24" s="44">
        <v>28</v>
      </c>
      <c r="Z24" s="44" t="s">
        <v>101</v>
      </c>
      <c r="AA24" s="44">
        <v>109</v>
      </c>
      <c r="AC24" s="44" t="s">
        <v>101</v>
      </c>
    </row>
    <row r="25" spans="1:29" ht="15.75" x14ac:dyDescent="0.25">
      <c r="A25" s="44" t="s">
        <v>133</v>
      </c>
      <c r="B25" s="44" t="s">
        <v>138</v>
      </c>
      <c r="C25" s="44" t="s">
        <v>103</v>
      </c>
      <c r="D25" s="44">
        <v>-23</v>
      </c>
      <c r="E25" s="44"/>
      <c r="F25" s="44" t="s">
        <v>101</v>
      </c>
      <c r="G25" s="44">
        <v>-36</v>
      </c>
      <c r="H25" s="44"/>
      <c r="I25" s="44" t="s">
        <v>101</v>
      </c>
      <c r="K25" s="44" t="s">
        <v>137</v>
      </c>
      <c r="L25" s="44" t="str">
        <f t="shared" si="0"/>
        <v>Melitaea athalia</v>
      </c>
      <c r="M25" s="44" t="s">
        <v>98</v>
      </c>
      <c r="N25" s="45">
        <v>-90</v>
      </c>
      <c r="O25" s="44" t="s">
        <v>107</v>
      </c>
      <c r="P25" s="44" t="s">
        <v>117</v>
      </c>
      <c r="Q25" s="45">
        <v>361</v>
      </c>
      <c r="R25" s="44" t="s">
        <v>99</v>
      </c>
      <c r="S25" s="44" t="s">
        <v>100</v>
      </c>
      <c r="U25" s="44" t="s">
        <v>139</v>
      </c>
      <c r="V25" s="44" t="str">
        <f t="shared" si="1"/>
        <v>Argynnis adippe</v>
      </c>
      <c r="W25" s="44" t="s">
        <v>98</v>
      </c>
      <c r="X25" s="45">
        <v>-97</v>
      </c>
      <c r="Y25" s="44" t="s">
        <v>107</v>
      </c>
      <c r="Z25" s="44" t="s">
        <v>117</v>
      </c>
      <c r="AA25" s="44">
        <v>-71</v>
      </c>
      <c r="AC25" s="44" t="s">
        <v>101</v>
      </c>
    </row>
    <row r="26" spans="1:29" ht="15.75" x14ac:dyDescent="0.25">
      <c r="A26" s="44" t="s">
        <v>135</v>
      </c>
      <c r="B26" s="44" t="s">
        <v>140</v>
      </c>
      <c r="C26" s="44" t="s">
        <v>98</v>
      </c>
      <c r="D26" s="45">
        <v>-46</v>
      </c>
      <c r="E26" s="44" t="s">
        <v>107</v>
      </c>
      <c r="F26" s="44" t="s">
        <v>117</v>
      </c>
      <c r="G26" s="44">
        <v>7</v>
      </c>
      <c r="H26" s="44"/>
      <c r="I26" s="44" t="s">
        <v>101</v>
      </c>
      <c r="K26" s="44" t="s">
        <v>139</v>
      </c>
      <c r="L26" s="44" t="str">
        <f t="shared" si="0"/>
        <v>Argynnis adippe</v>
      </c>
      <c r="M26" s="44" t="s">
        <v>98</v>
      </c>
      <c r="N26" s="45">
        <v>-69</v>
      </c>
      <c r="O26" s="44" t="s">
        <v>106</v>
      </c>
      <c r="P26" s="44" t="s">
        <v>117</v>
      </c>
      <c r="Q26" s="44">
        <v>1</v>
      </c>
      <c r="S26" s="44" t="s">
        <v>101</v>
      </c>
      <c r="U26" s="44" t="s">
        <v>141</v>
      </c>
      <c r="V26" s="44" t="str">
        <f t="shared" si="1"/>
        <v>Celastrina argiolus</v>
      </c>
      <c r="W26" s="44" t="s">
        <v>103</v>
      </c>
      <c r="X26" s="44">
        <v>-9</v>
      </c>
      <c r="Z26" s="44" t="s">
        <v>101</v>
      </c>
      <c r="AA26" s="44">
        <v>169</v>
      </c>
      <c r="AC26" s="44" t="s">
        <v>101</v>
      </c>
    </row>
    <row r="27" spans="1:29" ht="15.75" x14ac:dyDescent="0.25">
      <c r="A27" s="44" t="s">
        <v>137</v>
      </c>
      <c r="B27" s="44" t="s">
        <v>142</v>
      </c>
      <c r="C27" s="44" t="s">
        <v>98</v>
      </c>
      <c r="D27" s="45">
        <v>-88</v>
      </c>
      <c r="E27" s="44" t="s">
        <v>107</v>
      </c>
      <c r="F27" s="44" t="s">
        <v>117</v>
      </c>
      <c r="G27" s="45">
        <v>223</v>
      </c>
      <c r="H27" s="44" t="s">
        <v>143</v>
      </c>
      <c r="I27" s="44" t="s">
        <v>100</v>
      </c>
      <c r="K27" s="44" t="s">
        <v>141</v>
      </c>
      <c r="L27" s="44" t="str">
        <f t="shared" si="0"/>
        <v>Celastrina argiolus</v>
      </c>
      <c r="M27" s="44" t="s">
        <v>103</v>
      </c>
      <c r="N27" s="44">
        <v>14</v>
      </c>
      <c r="P27" s="44" t="s">
        <v>101</v>
      </c>
      <c r="Q27" s="45">
        <v>180</v>
      </c>
      <c r="R27" s="44" t="s">
        <v>99</v>
      </c>
      <c r="S27" s="44" t="s">
        <v>100</v>
      </c>
      <c r="U27" s="44" t="s">
        <v>144</v>
      </c>
      <c r="V27" s="44" t="str">
        <f t="shared" si="1"/>
        <v>Ochlodes sylvanus</v>
      </c>
      <c r="W27" s="44" t="s">
        <v>103</v>
      </c>
      <c r="X27" s="44">
        <v>-28</v>
      </c>
      <c r="Z27" s="44" t="s">
        <v>101</v>
      </c>
      <c r="AA27" s="44">
        <v>-15</v>
      </c>
      <c r="AC27" s="44" t="s">
        <v>101</v>
      </c>
    </row>
    <row r="28" spans="1:29" ht="15.75" x14ac:dyDescent="0.25">
      <c r="A28" s="44" t="s">
        <v>139</v>
      </c>
      <c r="B28" s="44" t="s">
        <v>145</v>
      </c>
      <c r="C28" s="44" t="s">
        <v>98</v>
      </c>
      <c r="D28" s="45">
        <v>-61</v>
      </c>
      <c r="E28" s="44" t="s">
        <v>106</v>
      </c>
      <c r="F28" s="44" t="s">
        <v>117</v>
      </c>
      <c r="G28" s="44">
        <v>-2</v>
      </c>
      <c r="H28" s="44"/>
      <c r="I28" s="44" t="s">
        <v>101</v>
      </c>
      <c r="K28" s="44" t="s">
        <v>146</v>
      </c>
      <c r="L28" s="44" t="str">
        <f t="shared" si="0"/>
        <v>Coenonympha tullia</v>
      </c>
      <c r="M28" s="44" t="s">
        <v>98</v>
      </c>
      <c r="N28" s="45">
        <v>371</v>
      </c>
      <c r="O28" s="44" t="s">
        <v>107</v>
      </c>
      <c r="P28" s="44" t="s">
        <v>100</v>
      </c>
      <c r="Q28" s="44">
        <v>70</v>
      </c>
      <c r="S28" s="44" t="s">
        <v>101</v>
      </c>
      <c r="U28" s="44" t="s">
        <v>147</v>
      </c>
      <c r="V28" s="44" t="str">
        <f t="shared" si="1"/>
        <v>Pieris brassicae</v>
      </c>
      <c r="W28" s="44" t="s">
        <v>103</v>
      </c>
      <c r="X28" s="44">
        <v>-19</v>
      </c>
      <c r="Z28" s="44" t="s">
        <v>101</v>
      </c>
      <c r="AA28" s="44">
        <v>14</v>
      </c>
      <c r="AC28" s="44" t="s">
        <v>101</v>
      </c>
    </row>
    <row r="29" spans="1:29" ht="15.75" x14ac:dyDescent="0.25">
      <c r="A29" s="44" t="s">
        <v>141</v>
      </c>
      <c r="B29" s="44" t="s">
        <v>148</v>
      </c>
      <c r="C29" s="44" t="s">
        <v>103</v>
      </c>
      <c r="D29" s="45">
        <v>174</v>
      </c>
      <c r="E29" s="44" t="s">
        <v>99</v>
      </c>
      <c r="F29" s="44" t="s">
        <v>100</v>
      </c>
      <c r="G29" s="44">
        <v>148</v>
      </c>
      <c r="H29" s="44"/>
      <c r="I29" s="44" t="s">
        <v>101</v>
      </c>
      <c r="K29" s="44" t="s">
        <v>144</v>
      </c>
      <c r="L29" s="44" t="str">
        <f t="shared" si="0"/>
        <v>Ochlodes sylvanus</v>
      </c>
      <c r="M29" s="44" t="s">
        <v>103</v>
      </c>
      <c r="N29" s="45">
        <v>-43</v>
      </c>
      <c r="O29" s="44" t="s">
        <v>107</v>
      </c>
      <c r="P29" s="44" t="s">
        <v>117</v>
      </c>
      <c r="Q29" s="45">
        <v>-46</v>
      </c>
      <c r="R29" s="44" t="s">
        <v>106</v>
      </c>
      <c r="S29" s="44" t="s">
        <v>117</v>
      </c>
      <c r="U29" s="44" t="s">
        <v>149</v>
      </c>
      <c r="V29" s="44" t="str">
        <f t="shared" si="1"/>
        <v>Melanargia galathea</v>
      </c>
      <c r="W29" s="44" t="s">
        <v>103</v>
      </c>
      <c r="X29" s="44">
        <v>-23</v>
      </c>
      <c r="Z29" s="44" t="s">
        <v>101</v>
      </c>
      <c r="AA29" s="44">
        <v>35</v>
      </c>
      <c r="AC29" s="44" t="s">
        <v>101</v>
      </c>
    </row>
    <row r="30" spans="1:29" ht="15.75" x14ac:dyDescent="0.25">
      <c r="A30" s="44" t="s">
        <v>146</v>
      </c>
      <c r="B30" s="44" t="s">
        <v>150</v>
      </c>
      <c r="C30" s="44" t="s">
        <v>98</v>
      </c>
      <c r="D30" s="45">
        <v>368</v>
      </c>
      <c r="E30" s="44" t="s">
        <v>107</v>
      </c>
      <c r="F30" s="44" t="s">
        <v>100</v>
      </c>
      <c r="G30" s="44">
        <v>69</v>
      </c>
      <c r="H30" s="44"/>
      <c r="I30" s="44" t="s">
        <v>101</v>
      </c>
      <c r="K30" s="44" t="s">
        <v>147</v>
      </c>
      <c r="L30" s="44" t="str">
        <f t="shared" si="0"/>
        <v>Pieris brassicae</v>
      </c>
      <c r="M30" s="44" t="s">
        <v>103</v>
      </c>
      <c r="N30" s="44">
        <v>-20</v>
      </c>
      <c r="P30" s="44" t="s">
        <v>101</v>
      </c>
      <c r="Q30" s="44">
        <v>23</v>
      </c>
      <c r="S30" s="44" t="s">
        <v>101</v>
      </c>
      <c r="U30" s="44" t="s">
        <v>151</v>
      </c>
      <c r="V30" s="44" t="str">
        <f t="shared" si="1"/>
        <v>Maniola jurtina</v>
      </c>
      <c r="W30" s="44" t="s">
        <v>103</v>
      </c>
      <c r="X30" s="44">
        <v>-18</v>
      </c>
      <c r="Z30" s="44" t="s">
        <v>101</v>
      </c>
      <c r="AA30" s="44">
        <v>28</v>
      </c>
      <c r="AC30" s="44" t="s">
        <v>101</v>
      </c>
    </row>
    <row r="31" spans="1:29" ht="15.75" x14ac:dyDescent="0.25">
      <c r="A31" s="44" t="s">
        <v>144</v>
      </c>
      <c r="B31" s="44" t="s">
        <v>152</v>
      </c>
      <c r="C31" s="44" t="s">
        <v>103</v>
      </c>
      <c r="D31" s="44">
        <v>-26</v>
      </c>
      <c r="E31" s="44"/>
      <c r="F31" s="44" t="s">
        <v>101</v>
      </c>
      <c r="G31" s="45">
        <v>-37</v>
      </c>
      <c r="H31" s="44" t="s">
        <v>99</v>
      </c>
      <c r="I31" s="44" t="s">
        <v>117</v>
      </c>
      <c r="K31" s="44" t="s">
        <v>153</v>
      </c>
      <c r="L31" s="44" t="str">
        <f t="shared" si="0"/>
        <v>Thymelicus acteon</v>
      </c>
      <c r="M31" s="44" t="s">
        <v>98</v>
      </c>
      <c r="N31" s="45">
        <v>-64</v>
      </c>
      <c r="O31" s="44" t="s">
        <v>99</v>
      </c>
      <c r="P31" s="44" t="s">
        <v>117</v>
      </c>
      <c r="Q31" s="44">
        <v>87</v>
      </c>
      <c r="S31" s="44" t="s">
        <v>101</v>
      </c>
      <c r="U31" s="44" t="s">
        <v>154</v>
      </c>
      <c r="V31" s="44" t="str">
        <f t="shared" si="1"/>
        <v>Anthocharis cardamines</v>
      </c>
      <c r="W31" s="44" t="s">
        <v>103</v>
      </c>
      <c r="X31" s="44">
        <v>9</v>
      </c>
      <c r="Z31" s="44" t="s">
        <v>101</v>
      </c>
      <c r="AA31" s="44">
        <v>-8</v>
      </c>
      <c r="AC31" s="44" t="s">
        <v>101</v>
      </c>
    </row>
    <row r="32" spans="1:29" ht="15.75" x14ac:dyDescent="0.25">
      <c r="A32" s="44" t="s">
        <v>147</v>
      </c>
      <c r="B32" s="44" t="s">
        <v>155</v>
      </c>
      <c r="C32" s="44" t="s">
        <v>103</v>
      </c>
      <c r="D32" s="44">
        <v>-31</v>
      </c>
      <c r="E32" s="44"/>
      <c r="F32" s="44" t="s">
        <v>101</v>
      </c>
      <c r="G32" s="44">
        <v>23</v>
      </c>
      <c r="H32" s="44"/>
      <c r="I32" s="44" t="s">
        <v>101</v>
      </c>
      <c r="K32" s="44" t="s">
        <v>149</v>
      </c>
      <c r="L32" s="44" t="str">
        <f t="shared" si="0"/>
        <v>Melanargia galathea</v>
      </c>
      <c r="M32" s="44" t="s">
        <v>103</v>
      </c>
      <c r="N32" s="45">
        <v>45</v>
      </c>
      <c r="O32" s="44" t="s">
        <v>99</v>
      </c>
      <c r="P32" s="44" t="s">
        <v>100</v>
      </c>
      <c r="Q32" s="44">
        <v>-4</v>
      </c>
      <c r="S32" s="44" t="s">
        <v>101</v>
      </c>
      <c r="U32" s="44" t="s">
        <v>156</v>
      </c>
      <c r="V32" s="44" t="str">
        <f t="shared" si="1"/>
        <v>Aglais io</v>
      </c>
      <c r="W32" s="44" t="s">
        <v>103</v>
      </c>
      <c r="X32" s="45">
        <v>-42</v>
      </c>
      <c r="Y32" s="44" t="s">
        <v>106</v>
      </c>
      <c r="Z32" s="44" t="s">
        <v>117</v>
      </c>
      <c r="AA32" s="44">
        <v>-10</v>
      </c>
      <c r="AC32" s="44" t="s">
        <v>101</v>
      </c>
    </row>
    <row r="33" spans="1:29" ht="15.75" x14ac:dyDescent="0.25">
      <c r="A33" s="44" t="s">
        <v>153</v>
      </c>
      <c r="B33" s="44" t="s">
        <v>157</v>
      </c>
      <c r="C33" s="44" t="s">
        <v>98</v>
      </c>
      <c r="D33" s="45">
        <v>-64</v>
      </c>
      <c r="E33" s="44" t="s">
        <v>99</v>
      </c>
      <c r="F33" s="44" t="s">
        <v>117</v>
      </c>
      <c r="G33" s="44">
        <v>87</v>
      </c>
      <c r="H33" s="44"/>
      <c r="I33" s="44" t="s">
        <v>101</v>
      </c>
      <c r="K33" s="44" t="s">
        <v>158</v>
      </c>
      <c r="L33" s="44" t="str">
        <f t="shared" si="0"/>
        <v>Euphydryas aurinia</v>
      </c>
      <c r="M33" s="44" t="s">
        <v>98</v>
      </c>
      <c r="N33" s="44">
        <v>-21</v>
      </c>
      <c r="P33" s="44" t="s">
        <v>101</v>
      </c>
      <c r="Q33" s="44">
        <v>-6</v>
      </c>
      <c r="S33" s="44" t="s">
        <v>101</v>
      </c>
      <c r="U33" s="44" t="s">
        <v>159</v>
      </c>
      <c r="V33" s="44" t="str">
        <f t="shared" si="1"/>
        <v>Boloria euphrosyne</v>
      </c>
      <c r="W33" s="44" t="s">
        <v>98</v>
      </c>
      <c r="X33" s="45">
        <v>-75</v>
      </c>
      <c r="Y33" s="44" t="s">
        <v>107</v>
      </c>
      <c r="Z33" s="44" t="s">
        <v>117</v>
      </c>
      <c r="AA33" s="44">
        <v>39</v>
      </c>
      <c r="AC33" s="44" t="s">
        <v>101</v>
      </c>
    </row>
    <row r="34" spans="1:29" ht="15.75" x14ac:dyDescent="0.25">
      <c r="A34" s="44" t="s">
        <v>149</v>
      </c>
      <c r="B34" s="44" t="s">
        <v>160</v>
      </c>
      <c r="C34" s="44" t="s">
        <v>103</v>
      </c>
      <c r="D34" s="45">
        <v>85</v>
      </c>
      <c r="E34" s="44" t="s">
        <v>107</v>
      </c>
      <c r="F34" s="44" t="s">
        <v>100</v>
      </c>
      <c r="G34" s="44">
        <v>2</v>
      </c>
      <c r="H34" s="44"/>
      <c r="I34" s="44" t="s">
        <v>101</v>
      </c>
      <c r="K34" s="44" t="s">
        <v>151</v>
      </c>
      <c r="L34" s="44" t="str">
        <f t="shared" si="0"/>
        <v>Maniola jurtina</v>
      </c>
      <c r="M34" s="44" t="s">
        <v>103</v>
      </c>
      <c r="N34" s="44">
        <v>-8</v>
      </c>
      <c r="P34" s="44" t="s">
        <v>101</v>
      </c>
      <c r="Q34" s="44">
        <v>19</v>
      </c>
      <c r="S34" s="44" t="s">
        <v>101</v>
      </c>
      <c r="U34" s="44" t="s">
        <v>161</v>
      </c>
      <c r="V34" s="44" t="str">
        <f t="shared" si="1"/>
        <v>Apatura iris</v>
      </c>
      <c r="W34" s="44" t="s">
        <v>98</v>
      </c>
      <c r="X34" s="45">
        <v>203</v>
      </c>
      <c r="Y34" s="44" t="s">
        <v>107</v>
      </c>
      <c r="Z34" s="44" t="s">
        <v>100</v>
      </c>
      <c r="AA34" s="44">
        <v>29</v>
      </c>
      <c r="AC34" s="44" t="s">
        <v>101</v>
      </c>
    </row>
    <row r="35" spans="1:29" ht="15.75" x14ac:dyDescent="0.25">
      <c r="A35" s="44" t="s">
        <v>158</v>
      </c>
      <c r="B35" s="44" t="s">
        <v>162</v>
      </c>
      <c r="C35" s="44" t="s">
        <v>98</v>
      </c>
      <c r="D35" s="44">
        <v>2</v>
      </c>
      <c r="E35" s="44"/>
      <c r="F35" s="44" t="s">
        <v>101</v>
      </c>
      <c r="G35" s="44">
        <v>-5</v>
      </c>
      <c r="H35" s="44"/>
      <c r="I35" s="44" t="s">
        <v>101</v>
      </c>
      <c r="K35" s="44" t="s">
        <v>163</v>
      </c>
      <c r="L35" s="44" t="str">
        <f t="shared" si="0"/>
        <v>Aricia artaxerxes</v>
      </c>
      <c r="M35" s="44" t="s">
        <v>98</v>
      </c>
      <c r="N35" s="45">
        <v>-69</v>
      </c>
      <c r="O35" s="44" t="s">
        <v>107</v>
      </c>
      <c r="P35" s="44" t="s">
        <v>117</v>
      </c>
      <c r="Q35" s="44">
        <v>-16</v>
      </c>
      <c r="S35" s="44" t="s">
        <v>101</v>
      </c>
      <c r="U35" s="44" t="s">
        <v>164</v>
      </c>
      <c r="V35" s="44" t="str">
        <f t="shared" si="1"/>
        <v>Favonius quercus</v>
      </c>
      <c r="W35" s="44" t="s">
        <v>103</v>
      </c>
      <c r="X35" s="44">
        <v>-23</v>
      </c>
      <c r="Z35" s="44" t="s">
        <v>101</v>
      </c>
      <c r="AA35" s="44">
        <v>22</v>
      </c>
      <c r="AC35" s="44" t="s">
        <v>101</v>
      </c>
    </row>
    <row r="36" spans="1:29" ht="15.75" x14ac:dyDescent="0.25">
      <c r="A36" s="44" t="s">
        <v>151</v>
      </c>
      <c r="B36" s="44" t="s">
        <v>165</v>
      </c>
      <c r="C36" s="44" t="s">
        <v>103</v>
      </c>
      <c r="D36" s="44">
        <v>3</v>
      </c>
      <c r="E36" s="44"/>
      <c r="F36" s="44" t="s">
        <v>101</v>
      </c>
      <c r="G36" s="44">
        <v>18</v>
      </c>
      <c r="H36" s="44"/>
      <c r="I36" s="44" t="s">
        <v>101</v>
      </c>
      <c r="K36" s="44" t="s">
        <v>154</v>
      </c>
      <c r="L36" s="44" t="str">
        <f t="shared" si="0"/>
        <v>Anthocharis cardamines</v>
      </c>
      <c r="M36" s="44" t="s">
        <v>103</v>
      </c>
      <c r="N36" s="45">
        <v>32</v>
      </c>
      <c r="O36" s="44" t="s">
        <v>99</v>
      </c>
      <c r="P36" s="44" t="s">
        <v>100</v>
      </c>
      <c r="Q36" s="44">
        <v>3</v>
      </c>
      <c r="S36" s="44" t="s">
        <v>101</v>
      </c>
      <c r="U36" s="44" t="s">
        <v>166</v>
      </c>
      <c r="V36" s="44" t="str">
        <f t="shared" si="1"/>
        <v>Aphantopus hyperantus</v>
      </c>
      <c r="W36" s="44" t="s">
        <v>103</v>
      </c>
      <c r="X36" s="45">
        <v>28</v>
      </c>
      <c r="Y36" s="44" t="s">
        <v>99</v>
      </c>
      <c r="Z36" s="44" t="s">
        <v>100</v>
      </c>
      <c r="AA36" s="45">
        <v>-36</v>
      </c>
      <c r="AB36" s="44" t="s">
        <v>116</v>
      </c>
      <c r="AC36" s="44" t="s">
        <v>117</v>
      </c>
    </row>
    <row r="37" spans="1:29" ht="15.75" x14ac:dyDescent="0.25">
      <c r="A37" s="44" t="s">
        <v>163</v>
      </c>
      <c r="B37" s="44" t="s">
        <v>167</v>
      </c>
      <c r="C37" s="44" t="s">
        <v>98</v>
      </c>
      <c r="D37" s="45">
        <v>-59</v>
      </c>
      <c r="E37" s="44" t="s">
        <v>107</v>
      </c>
      <c r="F37" s="44" t="s">
        <v>117</v>
      </c>
      <c r="G37" s="44">
        <v>-14</v>
      </c>
      <c r="H37" s="44"/>
      <c r="I37" s="44" t="s">
        <v>101</v>
      </c>
      <c r="K37" s="44" t="s">
        <v>156</v>
      </c>
      <c r="L37" s="44" t="str">
        <f t="shared" si="0"/>
        <v>Aglais io</v>
      </c>
      <c r="M37" s="44" t="s">
        <v>103</v>
      </c>
      <c r="N37" s="44">
        <v>-20</v>
      </c>
      <c r="P37" s="44" t="s">
        <v>101</v>
      </c>
      <c r="Q37" s="44">
        <v>-4</v>
      </c>
      <c r="S37" s="44" t="s">
        <v>101</v>
      </c>
      <c r="U37" s="44" t="s">
        <v>168</v>
      </c>
      <c r="V37" s="44" t="str">
        <f t="shared" si="1"/>
        <v>Erebia aethiops</v>
      </c>
      <c r="W37" s="44" t="s">
        <v>103</v>
      </c>
      <c r="X37" s="45">
        <v>-64</v>
      </c>
      <c r="Y37" s="44" t="s">
        <v>106</v>
      </c>
      <c r="Z37" s="44" t="s">
        <v>117</v>
      </c>
      <c r="AA37" s="44">
        <v>-62</v>
      </c>
      <c r="AC37" s="44" t="s">
        <v>101</v>
      </c>
    </row>
    <row r="38" spans="1:29" ht="15.75" x14ac:dyDescent="0.25">
      <c r="A38" s="44" t="s">
        <v>154</v>
      </c>
      <c r="B38" s="44" t="s">
        <v>169</v>
      </c>
      <c r="C38" s="44" t="s">
        <v>103</v>
      </c>
      <c r="D38" s="45">
        <v>40</v>
      </c>
      <c r="E38" s="44" t="s">
        <v>106</v>
      </c>
      <c r="F38" s="44" t="s">
        <v>100</v>
      </c>
      <c r="G38" s="44">
        <v>5</v>
      </c>
      <c r="H38" s="44"/>
      <c r="I38" s="44" t="s">
        <v>101</v>
      </c>
      <c r="K38" s="44" t="s">
        <v>159</v>
      </c>
      <c r="L38" s="44" t="str">
        <f t="shared" si="0"/>
        <v>Boloria euphrosyne</v>
      </c>
      <c r="M38" s="44" t="s">
        <v>98</v>
      </c>
      <c r="N38" s="45">
        <v>-78</v>
      </c>
      <c r="O38" s="44" t="s">
        <v>107</v>
      </c>
      <c r="P38" s="44" t="s">
        <v>117</v>
      </c>
      <c r="Q38" s="44">
        <v>33</v>
      </c>
      <c r="S38" s="44" t="s">
        <v>101</v>
      </c>
      <c r="U38" s="44" t="s">
        <v>170</v>
      </c>
      <c r="V38" s="44" t="str">
        <f t="shared" si="1"/>
        <v>Argynnis paphia</v>
      </c>
      <c r="W38" s="44" t="s">
        <v>98</v>
      </c>
      <c r="X38" s="45">
        <v>127</v>
      </c>
      <c r="Y38" s="44" t="s">
        <v>107</v>
      </c>
      <c r="Z38" s="44" t="s">
        <v>100</v>
      </c>
      <c r="AA38" s="44">
        <v>-10</v>
      </c>
      <c r="AC38" s="44" t="s">
        <v>101</v>
      </c>
    </row>
    <row r="39" spans="1:29" ht="15.75" x14ac:dyDescent="0.25">
      <c r="A39" s="44" t="s">
        <v>156</v>
      </c>
      <c r="B39" s="44" t="s">
        <v>171</v>
      </c>
      <c r="C39" s="44" t="s">
        <v>103</v>
      </c>
      <c r="D39" s="44">
        <v>5</v>
      </c>
      <c r="E39" s="44"/>
      <c r="F39" s="44" t="s">
        <v>101</v>
      </c>
      <c r="G39" s="44">
        <v>-8</v>
      </c>
      <c r="H39" s="44"/>
      <c r="I39" s="44" t="s">
        <v>101</v>
      </c>
      <c r="K39" s="44" t="s">
        <v>166</v>
      </c>
      <c r="L39" s="44" t="str">
        <f t="shared" si="0"/>
        <v>Aphantopus hyperantus</v>
      </c>
      <c r="M39" s="44" t="s">
        <v>103</v>
      </c>
      <c r="N39" s="45">
        <v>88</v>
      </c>
      <c r="O39" s="44" t="s">
        <v>107</v>
      </c>
      <c r="P39" s="44" t="s">
        <v>100</v>
      </c>
      <c r="Q39" s="45">
        <v>-48</v>
      </c>
      <c r="R39" s="44" t="s">
        <v>99</v>
      </c>
      <c r="S39" s="44" t="s">
        <v>117</v>
      </c>
      <c r="U39" s="44" t="s">
        <v>172</v>
      </c>
      <c r="V39" s="44" t="str">
        <f t="shared" si="1"/>
        <v>Lycaena phlaeas</v>
      </c>
      <c r="W39" s="44" t="s">
        <v>103</v>
      </c>
      <c r="X39" s="45">
        <v>-82</v>
      </c>
      <c r="Y39" s="44" t="s">
        <v>107</v>
      </c>
      <c r="Z39" s="44" t="s">
        <v>117</v>
      </c>
      <c r="AA39" s="44">
        <v>-10</v>
      </c>
      <c r="AC39" s="44" t="s">
        <v>101</v>
      </c>
    </row>
    <row r="40" spans="1:29" ht="15.75" x14ac:dyDescent="0.25">
      <c r="A40" s="44" t="s">
        <v>159</v>
      </c>
      <c r="B40" s="44" t="s">
        <v>173</v>
      </c>
      <c r="C40" s="44" t="s">
        <v>98</v>
      </c>
      <c r="D40" s="45">
        <v>-68</v>
      </c>
      <c r="E40" s="44" t="s">
        <v>107</v>
      </c>
      <c r="F40" s="44" t="s">
        <v>117</v>
      </c>
      <c r="G40" s="44">
        <v>-9</v>
      </c>
      <c r="H40" s="44"/>
      <c r="I40" s="44" t="s">
        <v>101</v>
      </c>
      <c r="K40" s="44" t="s">
        <v>168</v>
      </c>
      <c r="L40" s="44" t="str">
        <f t="shared" si="0"/>
        <v>Erebia aethiops</v>
      </c>
      <c r="M40" s="44" t="s">
        <v>103</v>
      </c>
      <c r="N40" s="45">
        <v>-74</v>
      </c>
      <c r="O40" s="44" t="s">
        <v>107</v>
      </c>
      <c r="P40" s="44" t="s">
        <v>117</v>
      </c>
      <c r="Q40" s="44">
        <v>-44</v>
      </c>
      <c r="S40" s="44" t="s">
        <v>101</v>
      </c>
      <c r="U40" s="44" t="s">
        <v>174</v>
      </c>
      <c r="V40" s="44" t="str">
        <f t="shared" si="1"/>
        <v>Coenonympha pamphilus</v>
      </c>
      <c r="W40" s="44" t="s">
        <v>103</v>
      </c>
      <c r="X40" s="45">
        <v>-46</v>
      </c>
      <c r="Y40" s="44" t="s">
        <v>99</v>
      </c>
      <c r="Z40" s="44" t="s">
        <v>117</v>
      </c>
      <c r="AA40" s="44">
        <v>95</v>
      </c>
      <c r="AC40" s="44" t="s">
        <v>101</v>
      </c>
    </row>
    <row r="41" spans="1:29" ht="15.75" x14ac:dyDescent="0.25">
      <c r="A41" s="44" t="s">
        <v>161</v>
      </c>
      <c r="B41" s="44" t="s">
        <v>175</v>
      </c>
      <c r="C41" s="44" t="s">
        <v>98</v>
      </c>
      <c r="D41" s="45">
        <v>133</v>
      </c>
      <c r="E41" s="44" t="s">
        <v>106</v>
      </c>
      <c r="F41" s="44" t="s">
        <v>100</v>
      </c>
      <c r="G41" s="44">
        <v>28</v>
      </c>
      <c r="H41" s="44"/>
      <c r="I41" s="44" t="s">
        <v>101</v>
      </c>
      <c r="K41" s="44" t="s">
        <v>176</v>
      </c>
      <c r="L41" s="44" t="str">
        <f t="shared" si="0"/>
        <v>Hesperia comma</v>
      </c>
      <c r="M41" s="44" t="s">
        <v>98</v>
      </c>
      <c r="N41" s="44">
        <v>45</v>
      </c>
      <c r="P41" s="44" t="s">
        <v>101</v>
      </c>
      <c r="Q41" s="44">
        <v>-26</v>
      </c>
      <c r="S41" s="44" t="s">
        <v>101</v>
      </c>
      <c r="U41" s="44" t="s">
        <v>177</v>
      </c>
      <c r="V41" s="44" t="str">
        <f t="shared" si="1"/>
        <v>Boloria selene</v>
      </c>
      <c r="W41" s="44" t="s">
        <v>98</v>
      </c>
      <c r="X41" s="45">
        <v>-57</v>
      </c>
      <c r="Y41" s="44" t="s">
        <v>106</v>
      </c>
      <c r="Z41" s="44" t="s">
        <v>117</v>
      </c>
      <c r="AA41" s="44">
        <v>-14</v>
      </c>
      <c r="AC41" s="44" t="s">
        <v>101</v>
      </c>
    </row>
    <row r="42" spans="1:29" ht="15.75" x14ac:dyDescent="0.25">
      <c r="A42" s="44" t="s">
        <v>164</v>
      </c>
      <c r="B42" s="44" t="s">
        <v>178</v>
      </c>
      <c r="C42" s="44" t="s">
        <v>103</v>
      </c>
      <c r="D42" s="44">
        <v>-18</v>
      </c>
      <c r="E42" s="44"/>
      <c r="F42" s="44" t="s">
        <v>101</v>
      </c>
      <c r="G42" s="44">
        <v>81</v>
      </c>
      <c r="H42" s="44"/>
      <c r="I42" s="44" t="s">
        <v>101</v>
      </c>
      <c r="K42" s="44" t="s">
        <v>179</v>
      </c>
      <c r="L42" s="44" t="str">
        <f t="shared" si="0"/>
        <v>Plebejus argus</v>
      </c>
      <c r="M42" s="44" t="s">
        <v>98</v>
      </c>
      <c r="N42" s="44">
        <v>35</v>
      </c>
      <c r="P42" s="44" t="s">
        <v>101</v>
      </c>
      <c r="Q42" s="45">
        <v>84</v>
      </c>
      <c r="R42" s="44" t="s">
        <v>106</v>
      </c>
      <c r="S42" s="44" t="s">
        <v>100</v>
      </c>
      <c r="U42" s="44" t="s">
        <v>180</v>
      </c>
      <c r="V42" s="44" t="str">
        <f t="shared" si="1"/>
        <v>Aglais urticae</v>
      </c>
      <c r="W42" s="44" t="s">
        <v>103</v>
      </c>
      <c r="X42" s="45">
        <v>-83</v>
      </c>
      <c r="Y42" s="44" t="s">
        <v>107</v>
      </c>
      <c r="Z42" s="44" t="s">
        <v>117</v>
      </c>
      <c r="AA42" s="44">
        <v>-63</v>
      </c>
      <c r="AC42" s="44" t="s">
        <v>101</v>
      </c>
    </row>
    <row r="43" spans="1:29" ht="15.75" x14ac:dyDescent="0.25">
      <c r="A43" s="44" t="s">
        <v>166</v>
      </c>
      <c r="B43" s="44" t="s">
        <v>181</v>
      </c>
      <c r="C43" s="44" t="s">
        <v>103</v>
      </c>
      <c r="D43" s="45">
        <v>296</v>
      </c>
      <c r="E43" s="44" t="s">
        <v>107</v>
      </c>
      <c r="F43" s="44" t="s">
        <v>100</v>
      </c>
      <c r="G43" s="45">
        <v>-42</v>
      </c>
      <c r="H43" s="44" t="s">
        <v>99</v>
      </c>
      <c r="I43" s="44" t="s">
        <v>117</v>
      </c>
      <c r="K43" s="44" t="s">
        <v>182</v>
      </c>
      <c r="L43" s="44" t="str">
        <f t="shared" si="0"/>
        <v>Cupido minimus</v>
      </c>
      <c r="M43" s="44" t="s">
        <v>98</v>
      </c>
      <c r="N43" s="44">
        <v>26</v>
      </c>
      <c r="P43" s="44" t="s">
        <v>101</v>
      </c>
      <c r="Q43" s="45">
        <v>84</v>
      </c>
      <c r="R43" s="44" t="s">
        <v>99</v>
      </c>
      <c r="S43" s="44" t="s">
        <v>100</v>
      </c>
      <c r="U43" s="44" t="s">
        <v>183</v>
      </c>
      <c r="V43" s="44" t="str">
        <f t="shared" si="1"/>
        <v>Pieris rapae</v>
      </c>
      <c r="W43" s="44" t="s">
        <v>103</v>
      </c>
      <c r="X43" s="44">
        <v>-23</v>
      </c>
      <c r="Z43" s="44" t="s">
        <v>101</v>
      </c>
      <c r="AA43" s="44">
        <v>26</v>
      </c>
      <c r="AC43" s="44" t="s">
        <v>101</v>
      </c>
    </row>
    <row r="44" spans="1:29" ht="15.75" x14ac:dyDescent="0.25">
      <c r="A44" s="44" t="s">
        <v>168</v>
      </c>
      <c r="B44" s="44" t="s">
        <v>184</v>
      </c>
      <c r="C44" s="44" t="s">
        <v>103</v>
      </c>
      <c r="D44" s="44">
        <v>21</v>
      </c>
      <c r="E44" s="44"/>
      <c r="F44" s="44" t="s">
        <v>101</v>
      </c>
      <c r="G44" s="44">
        <v>-39</v>
      </c>
      <c r="H44" s="44"/>
      <c r="I44" s="44" t="s">
        <v>101</v>
      </c>
      <c r="K44" s="44" t="s">
        <v>172</v>
      </c>
      <c r="L44" s="44" t="str">
        <f t="shared" si="0"/>
        <v>Lycaena phlaeas</v>
      </c>
      <c r="M44" s="44" t="s">
        <v>103</v>
      </c>
      <c r="N44" s="45">
        <v>-40</v>
      </c>
      <c r="O44" s="44" t="s">
        <v>99</v>
      </c>
      <c r="P44" s="44" t="s">
        <v>117</v>
      </c>
      <c r="Q44" s="44">
        <v>30</v>
      </c>
      <c r="S44" s="44" t="s">
        <v>101</v>
      </c>
      <c r="U44" s="44" t="s">
        <v>185</v>
      </c>
      <c r="V44" s="44" t="str">
        <f t="shared" si="1"/>
        <v>Pararge aegeria</v>
      </c>
      <c r="W44" s="44" t="s">
        <v>103</v>
      </c>
      <c r="X44" s="44">
        <v>4</v>
      </c>
      <c r="Z44" s="44" t="s">
        <v>101</v>
      </c>
      <c r="AA44" s="44">
        <v>-11</v>
      </c>
      <c r="AC44" s="44" t="s">
        <v>101</v>
      </c>
    </row>
    <row r="45" spans="1:29" ht="15.75" x14ac:dyDescent="0.25">
      <c r="A45" s="44" t="s">
        <v>176</v>
      </c>
      <c r="B45" s="44" t="s">
        <v>186</v>
      </c>
      <c r="C45" s="44" t="s">
        <v>98</v>
      </c>
      <c r="D45" s="45">
        <v>476</v>
      </c>
      <c r="E45" s="44" t="s">
        <v>107</v>
      </c>
      <c r="F45" s="44" t="s">
        <v>100</v>
      </c>
      <c r="G45" s="44">
        <v>-27</v>
      </c>
      <c r="H45" s="44"/>
      <c r="I45" s="44" t="s">
        <v>101</v>
      </c>
      <c r="K45" s="44" t="s">
        <v>174</v>
      </c>
      <c r="L45" s="44" t="str">
        <f t="shared" si="0"/>
        <v>Coenonympha pamphilus</v>
      </c>
      <c r="M45" s="44" t="s">
        <v>103</v>
      </c>
      <c r="N45" s="44">
        <v>3</v>
      </c>
      <c r="P45" s="44" t="s">
        <v>101</v>
      </c>
      <c r="Q45" s="44">
        <v>54</v>
      </c>
      <c r="S45" s="44" t="s">
        <v>101</v>
      </c>
      <c r="U45" s="44" t="s">
        <v>187</v>
      </c>
      <c r="V45" s="44" t="str">
        <f t="shared" si="1"/>
        <v>Lasiommata megera</v>
      </c>
      <c r="W45" s="44" t="s">
        <v>103</v>
      </c>
      <c r="X45" s="45">
        <v>-95</v>
      </c>
      <c r="Y45" s="44" t="s">
        <v>107</v>
      </c>
      <c r="Z45" s="44" t="s">
        <v>117</v>
      </c>
      <c r="AA45" s="44">
        <v>15</v>
      </c>
      <c r="AC45" s="44" t="s">
        <v>101</v>
      </c>
    </row>
    <row r="46" spans="1:29" ht="15.75" x14ac:dyDescent="0.25">
      <c r="A46" s="44" t="s">
        <v>179</v>
      </c>
      <c r="B46" s="44" t="s">
        <v>188</v>
      </c>
      <c r="C46" s="44" t="s">
        <v>98</v>
      </c>
      <c r="D46" s="45">
        <v>70</v>
      </c>
      <c r="E46" s="44" t="s">
        <v>99</v>
      </c>
      <c r="F46" s="44" t="s">
        <v>100</v>
      </c>
      <c r="G46" s="45">
        <v>84</v>
      </c>
      <c r="H46" s="44" t="s">
        <v>106</v>
      </c>
      <c r="I46" s="44" t="s">
        <v>100</v>
      </c>
      <c r="K46" s="44" t="s">
        <v>177</v>
      </c>
      <c r="L46" s="44" t="str">
        <f t="shared" si="0"/>
        <v>Boloria selene</v>
      </c>
      <c r="M46" s="44" t="s">
        <v>98</v>
      </c>
      <c r="N46" s="45">
        <v>-63</v>
      </c>
      <c r="O46" s="44" t="s">
        <v>107</v>
      </c>
      <c r="P46" s="44" t="s">
        <v>117</v>
      </c>
      <c r="Q46" s="45">
        <v>-51</v>
      </c>
      <c r="R46" s="44" t="s">
        <v>107</v>
      </c>
      <c r="S46" s="44" t="s">
        <v>117</v>
      </c>
      <c r="U46" s="44" t="s">
        <v>189</v>
      </c>
      <c r="V46" s="44" t="str">
        <f t="shared" si="1"/>
        <v>Limenitis camilla</v>
      </c>
      <c r="W46" s="44" t="s">
        <v>98</v>
      </c>
      <c r="X46" s="45">
        <v>-41</v>
      </c>
      <c r="Y46" s="44" t="s">
        <v>99</v>
      </c>
      <c r="Z46" s="44" t="s">
        <v>117</v>
      </c>
      <c r="AA46" s="44">
        <v>4</v>
      </c>
      <c r="AC46" s="44" t="s">
        <v>101</v>
      </c>
    </row>
    <row r="47" spans="1:29" ht="15.75" x14ac:dyDescent="0.25">
      <c r="A47" s="44" t="s">
        <v>170</v>
      </c>
      <c r="B47" s="44" t="s">
        <v>190</v>
      </c>
      <c r="C47" s="44" t="s">
        <v>98</v>
      </c>
      <c r="D47" s="45">
        <v>271</v>
      </c>
      <c r="E47" s="44" t="s">
        <v>107</v>
      </c>
      <c r="F47" s="44" t="s">
        <v>100</v>
      </c>
      <c r="G47" s="44">
        <v>-10</v>
      </c>
      <c r="H47" s="44"/>
      <c r="I47" s="44" t="s">
        <v>101</v>
      </c>
      <c r="K47" s="44" t="s">
        <v>180</v>
      </c>
      <c r="L47" s="44" t="str">
        <f t="shared" si="0"/>
        <v>Aglais urticae</v>
      </c>
      <c r="M47" s="44" t="s">
        <v>103</v>
      </c>
      <c r="N47" s="45">
        <v>-80</v>
      </c>
      <c r="O47" s="44" t="s">
        <v>107</v>
      </c>
      <c r="P47" s="44" t="s">
        <v>117</v>
      </c>
      <c r="Q47" s="45">
        <v>-67</v>
      </c>
      <c r="R47" s="44" t="s">
        <v>99</v>
      </c>
      <c r="S47" s="44" t="s">
        <v>117</v>
      </c>
      <c r="U47" s="44" t="s">
        <v>191</v>
      </c>
      <c r="V47" s="44" t="str">
        <f t="shared" si="1"/>
        <v>Satyrium w-album</v>
      </c>
      <c r="W47" s="44" t="s">
        <v>103</v>
      </c>
      <c r="X47" s="45">
        <v>-57</v>
      </c>
      <c r="Y47" s="44" t="s">
        <v>99</v>
      </c>
      <c r="Z47" s="44" t="s">
        <v>117</v>
      </c>
      <c r="AA47" s="44">
        <v>35</v>
      </c>
      <c r="AC47" s="44" t="s">
        <v>101</v>
      </c>
    </row>
    <row r="48" spans="1:29" ht="15.75" x14ac:dyDescent="0.25">
      <c r="A48" s="44" t="s">
        <v>182</v>
      </c>
      <c r="B48" s="44" t="s">
        <v>192</v>
      </c>
      <c r="C48" s="44" t="s">
        <v>98</v>
      </c>
      <c r="D48" s="44">
        <v>29</v>
      </c>
      <c r="E48" s="44"/>
      <c r="F48" s="44" t="s">
        <v>101</v>
      </c>
      <c r="G48" s="45">
        <v>87</v>
      </c>
      <c r="H48" s="44" t="s">
        <v>99</v>
      </c>
      <c r="I48" s="44" t="s">
        <v>100</v>
      </c>
      <c r="K48" s="44" t="s">
        <v>183</v>
      </c>
      <c r="L48" s="44" t="str">
        <f t="shared" si="0"/>
        <v>Pieris rapae</v>
      </c>
      <c r="M48" s="44" t="s">
        <v>103</v>
      </c>
      <c r="N48" s="44">
        <v>-15</v>
      </c>
      <c r="P48" s="44" t="s">
        <v>101</v>
      </c>
      <c r="Q48" s="44">
        <v>65</v>
      </c>
      <c r="S48" s="44" t="s">
        <v>101</v>
      </c>
      <c r="U48" s="44" t="s">
        <v>193</v>
      </c>
      <c r="V48" s="44" t="str">
        <f t="shared" si="1"/>
        <v>Leptidea sinapis</v>
      </c>
      <c r="W48" s="44" t="s">
        <v>98</v>
      </c>
      <c r="X48" s="44">
        <v>-2</v>
      </c>
      <c r="Z48" s="44" t="s">
        <v>101</v>
      </c>
      <c r="AA48" s="45">
        <v>65</v>
      </c>
      <c r="AB48" s="44" t="s">
        <v>99</v>
      </c>
      <c r="AC48" s="44" t="s">
        <v>100</v>
      </c>
    </row>
    <row r="49" spans="1:19" ht="15.75" x14ac:dyDescent="0.25">
      <c r="A49" s="44" t="s">
        <v>172</v>
      </c>
      <c r="B49" s="44" t="s">
        <v>194</v>
      </c>
      <c r="C49" s="44" t="s">
        <v>103</v>
      </c>
      <c r="D49" s="45">
        <v>-40</v>
      </c>
      <c r="E49" s="44" t="s">
        <v>99</v>
      </c>
      <c r="F49" s="44" t="s">
        <v>117</v>
      </c>
      <c r="G49" s="44">
        <v>32</v>
      </c>
      <c r="H49" s="44"/>
      <c r="I49" s="44" t="s">
        <v>101</v>
      </c>
      <c r="K49" s="44" t="s">
        <v>185</v>
      </c>
      <c r="L49" s="44" t="str">
        <f t="shared" si="0"/>
        <v>Pararge aegeria</v>
      </c>
      <c r="M49" s="44" t="s">
        <v>103</v>
      </c>
      <c r="N49" s="45">
        <v>51</v>
      </c>
      <c r="O49" s="44" t="s">
        <v>106</v>
      </c>
      <c r="P49" s="44" t="s">
        <v>100</v>
      </c>
      <c r="Q49" s="44">
        <v>-9</v>
      </c>
      <c r="S49" s="44" t="s">
        <v>101</v>
      </c>
    </row>
    <row r="50" spans="1:19" ht="15.75" x14ac:dyDescent="0.25">
      <c r="A50" s="44" t="s">
        <v>174</v>
      </c>
      <c r="B50" s="44" t="s">
        <v>195</v>
      </c>
      <c r="C50" s="44" t="s">
        <v>103</v>
      </c>
      <c r="D50" s="45">
        <v>-43</v>
      </c>
      <c r="E50" s="44" t="s">
        <v>106</v>
      </c>
      <c r="F50" s="44" t="s">
        <v>117</v>
      </c>
      <c r="G50" s="44">
        <v>52</v>
      </c>
      <c r="H50" s="44"/>
      <c r="I50" s="44" t="s">
        <v>101</v>
      </c>
      <c r="K50" s="44" t="s">
        <v>196</v>
      </c>
      <c r="L50" s="44" t="str">
        <f t="shared" si="0"/>
        <v>Papilio machaon</v>
      </c>
      <c r="M50" s="44" t="s">
        <v>98</v>
      </c>
      <c r="N50" s="45">
        <v>-42</v>
      </c>
      <c r="O50" s="44" t="s">
        <v>99</v>
      </c>
      <c r="P50" s="44" t="s">
        <v>117</v>
      </c>
      <c r="Q50" s="44">
        <v>-1</v>
      </c>
      <c r="S50" s="44" t="s">
        <v>101</v>
      </c>
    </row>
    <row r="51" spans="1:19" ht="15.75" x14ac:dyDescent="0.25">
      <c r="A51" s="44" t="s">
        <v>177</v>
      </c>
      <c r="B51" s="44" t="s">
        <v>197</v>
      </c>
      <c r="C51" s="44" t="s">
        <v>98</v>
      </c>
      <c r="D51" s="45">
        <v>-71</v>
      </c>
      <c r="E51" s="44" t="s">
        <v>107</v>
      </c>
      <c r="F51" s="44" t="s">
        <v>117</v>
      </c>
      <c r="G51" s="45">
        <v>-36</v>
      </c>
      <c r="H51" s="44" t="s">
        <v>99</v>
      </c>
      <c r="I51" s="44" t="s">
        <v>117</v>
      </c>
      <c r="K51" s="44" t="s">
        <v>187</v>
      </c>
      <c r="L51" s="44" t="str">
        <f t="shared" si="0"/>
        <v>Lasiommata megera</v>
      </c>
      <c r="M51" s="44" t="s">
        <v>103</v>
      </c>
      <c r="N51" s="45">
        <v>-70</v>
      </c>
      <c r="O51" s="44" t="s">
        <v>107</v>
      </c>
      <c r="P51" s="44" t="s">
        <v>117</v>
      </c>
      <c r="Q51" s="44">
        <v>45</v>
      </c>
      <c r="S51" s="44" t="s">
        <v>101</v>
      </c>
    </row>
    <row r="52" spans="1:19" ht="15.75" x14ac:dyDescent="0.25">
      <c r="A52" s="44" t="s">
        <v>180</v>
      </c>
      <c r="B52" s="44" t="s">
        <v>198</v>
      </c>
      <c r="C52" s="44" t="s">
        <v>103</v>
      </c>
      <c r="D52" s="45">
        <v>-82</v>
      </c>
      <c r="E52" s="44" t="s">
        <v>107</v>
      </c>
      <c r="F52" s="44" t="s">
        <v>117</v>
      </c>
      <c r="G52" s="45">
        <v>-66</v>
      </c>
      <c r="H52" s="44" t="s">
        <v>99</v>
      </c>
      <c r="I52" s="44" t="s">
        <v>101</v>
      </c>
      <c r="K52" s="44" t="s">
        <v>191</v>
      </c>
      <c r="L52" s="44" t="str">
        <f t="shared" si="0"/>
        <v>Satyrium w-album</v>
      </c>
      <c r="M52" s="44" t="s">
        <v>103</v>
      </c>
      <c r="N52" s="45">
        <v>129</v>
      </c>
      <c r="O52" s="44" t="s">
        <v>99</v>
      </c>
      <c r="P52" s="44" t="s">
        <v>100</v>
      </c>
      <c r="Q52" s="44">
        <v>108</v>
      </c>
      <c r="S52" s="44" t="s">
        <v>101</v>
      </c>
    </row>
    <row r="53" spans="1:19" ht="15.75" x14ac:dyDescent="0.25">
      <c r="A53" s="44" t="s">
        <v>183</v>
      </c>
      <c r="B53" s="44" t="s">
        <v>199</v>
      </c>
      <c r="C53" s="44" t="s">
        <v>103</v>
      </c>
      <c r="D53" s="44">
        <v>-14</v>
      </c>
      <c r="E53" s="44"/>
      <c r="F53" s="44" t="s">
        <v>101</v>
      </c>
      <c r="G53" s="44">
        <v>53</v>
      </c>
      <c r="H53" s="44"/>
      <c r="I53" s="44" t="s">
        <v>101</v>
      </c>
      <c r="K53" s="44" t="s">
        <v>193</v>
      </c>
      <c r="L53" s="44" t="str">
        <f t="shared" si="0"/>
        <v>Leptidea sinapis</v>
      </c>
      <c r="M53" s="44" t="s">
        <v>98</v>
      </c>
      <c r="N53" s="45">
        <v>-98</v>
      </c>
      <c r="O53" s="44" t="s">
        <v>107</v>
      </c>
      <c r="P53" s="44" t="s">
        <v>117</v>
      </c>
      <c r="Q53" s="44">
        <v>228</v>
      </c>
      <c r="S53" s="44" t="s">
        <v>101</v>
      </c>
    </row>
    <row r="54" spans="1:19" ht="15.75" x14ac:dyDescent="0.25">
      <c r="A54" s="44" t="s">
        <v>185</v>
      </c>
      <c r="B54" s="44" t="s">
        <v>200</v>
      </c>
      <c r="C54" s="44" t="s">
        <v>103</v>
      </c>
      <c r="D54" s="45">
        <v>94</v>
      </c>
      <c r="E54" s="44" t="s">
        <v>107</v>
      </c>
      <c r="F54" s="44" t="s">
        <v>100</v>
      </c>
      <c r="G54" s="44">
        <v>-7</v>
      </c>
      <c r="H54" s="44"/>
      <c r="I54" s="44" t="s">
        <v>101</v>
      </c>
    </row>
    <row r="55" spans="1:19" ht="15.75" x14ac:dyDescent="0.25">
      <c r="A55" s="44" t="s">
        <v>196</v>
      </c>
      <c r="B55" s="44" t="s">
        <v>201</v>
      </c>
      <c r="C55" s="44" t="s">
        <v>98</v>
      </c>
      <c r="D55" s="44">
        <v>7</v>
      </c>
      <c r="E55" s="44"/>
      <c r="F55" s="44" t="s">
        <v>101</v>
      </c>
      <c r="G55" s="44">
        <v>-1</v>
      </c>
      <c r="H55" s="44"/>
      <c r="I55" s="44" t="s">
        <v>101</v>
      </c>
    </row>
    <row r="56" spans="1:19" ht="15.75" x14ac:dyDescent="0.25">
      <c r="A56" s="44" t="s">
        <v>187</v>
      </c>
      <c r="B56" s="44" t="s">
        <v>202</v>
      </c>
      <c r="C56" s="44" t="s">
        <v>103</v>
      </c>
      <c r="D56" s="45">
        <v>-84</v>
      </c>
      <c r="E56" s="44" t="s">
        <v>107</v>
      </c>
      <c r="F56" s="44" t="s">
        <v>117</v>
      </c>
      <c r="G56" s="44">
        <v>20</v>
      </c>
      <c r="H56" s="44"/>
      <c r="I56" s="44" t="s">
        <v>101</v>
      </c>
    </row>
    <row r="57" spans="1:19" ht="15.75" x14ac:dyDescent="0.25">
      <c r="A57" s="44" t="s">
        <v>189</v>
      </c>
      <c r="B57" s="44" t="s">
        <v>203</v>
      </c>
      <c r="C57" s="44" t="s">
        <v>98</v>
      </c>
      <c r="D57" s="45">
        <v>-60</v>
      </c>
      <c r="E57" s="44" t="s">
        <v>107</v>
      </c>
      <c r="F57" s="44" t="s">
        <v>117</v>
      </c>
      <c r="G57" s="44">
        <v>6</v>
      </c>
      <c r="H57" s="44"/>
      <c r="I57" s="44" t="s">
        <v>101</v>
      </c>
    </row>
    <row r="58" spans="1:19" ht="15.75" x14ac:dyDescent="0.25">
      <c r="A58" s="44" t="s">
        <v>191</v>
      </c>
      <c r="B58" s="44" t="s">
        <v>204</v>
      </c>
      <c r="C58" s="44" t="s">
        <v>103</v>
      </c>
      <c r="D58" s="45">
        <v>-78</v>
      </c>
      <c r="E58" s="44" t="s">
        <v>107</v>
      </c>
      <c r="F58" s="44" t="s">
        <v>117</v>
      </c>
      <c r="G58" s="44">
        <v>40</v>
      </c>
      <c r="H58" s="44"/>
      <c r="I58" s="44" t="s">
        <v>101</v>
      </c>
    </row>
    <row r="59" spans="1:19" ht="15.75" x14ac:dyDescent="0.25">
      <c r="A59" s="44" t="s">
        <v>193</v>
      </c>
      <c r="B59" s="44" t="s">
        <v>205</v>
      </c>
      <c r="C59" s="44" t="s">
        <v>98</v>
      </c>
      <c r="D59" s="45">
        <v>-80</v>
      </c>
      <c r="E59" s="44" t="s">
        <v>107</v>
      </c>
      <c r="F59" s="44" t="s">
        <v>117</v>
      </c>
      <c r="G59" s="44">
        <v>43</v>
      </c>
      <c r="H59" s="44"/>
      <c r="I59" s="44" t="s">
        <v>101</v>
      </c>
    </row>
  </sheetData>
  <pageMargins left="0.70000000000000007" right="0.70000000000000007" top="0.75" bottom="0.75" header="0.30000000000000004" footer="0.30000000000000004"/>
  <pageSetup paperSize="0" fitToWidth="0" fitToHeight="0" orientation="portrait" horizontalDpi="0" verticalDpi="0" copies="0"/>
  <headerFooter>
    <oddHeader>&amp;C&amp;"Aptos"&amp;10&amp;K000000 CLASSIFICATION: CONFIDENTIAL - COMMERCIAL IN CONFIDENCE&amp;1#_x000D_</oddHeader>
  </headerFooter>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d1117845-93f6-4da3-abaa-fcb4fa669c78" ContentTypeId="0x010100A5BF1C78D9F64B679A5EBDE1C6598EBC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_ip_UnifiedCompliancePolicyUIAction xmlns="http://schemas.microsoft.com/sharepoint/v3" xsi:nil="true"/>
    <k85d23755b3a46b5a51451cf336b2e9b xmlns="662745e8-e224-48e8-a2e3-254862b8c2f5">
      <Terms xmlns="http://schemas.microsoft.com/office/infopath/2007/PartnerControls"/>
    </k85d23755b3a46b5a51451cf336b2e9b>
    <lcf76f155ced4ddcb4097134ff3c332f xmlns="63fb2e78-87de-42f7-8d79-90c3117f9953">
      <Terms xmlns="http://schemas.microsoft.com/office/infopath/2007/PartnerControls"/>
    </lcf76f155ced4ddcb4097134ff3c332f>
    <Topic xmlns="662745e8-e224-48e8-a2e3-254862b8c2f5">Indicators</Topic>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External</TermName>
          <TermId xmlns="http://schemas.microsoft.com/office/infopath/2007/PartnerControls">1104eb68-55d8-494f-b6ba-c5473579de73</TermId>
        </TermInfo>
      </Terms>
    </ddeb1fd0a9ad4436a96525d34737dc44>
    <_ip_UnifiedCompliancePolicyProperties xmlns="http://schemas.microsoft.com/sharepoint/v3" xsi:nil="true"/>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662745e8-e224-48e8-a2e3-254862b8c2f5">
      <Value>6</Value>
      <Value>10</Value>
      <Value>9</Value>
      <Value>8</Value>
      <Value>7</Value>
    </TaxCatchAll>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Core Defra</TermName>
          <TermId xmlns="http://schemas.microsoft.com/office/infopath/2007/PartnerControls">026223dd-2e56-4615-868d-7c5bfd566810</TermId>
        </TermInfo>
      </Terms>
    </fe59e9859d6a491389c5b03567f5dda5>
    <Team xmlns="662745e8-e224-48e8-a2e3-254862b8c2f5">Environment Science and Analysis</Team>
    <n7493b4506bf40e28c373b1e51a33445 xmlns="662745e8-e224-48e8-a2e3-254862b8c2f5">
      <Terms xmlns="http://schemas.microsoft.com/office/infopath/2007/PartnerControls">
        <TermInfo xmlns="http://schemas.microsoft.com/office/infopath/2007/PartnerControls">
          <TermName xmlns="http://schemas.microsoft.com/office/infopath/2007/PartnerControls">Work Delivery</TermName>
          <TermId xmlns="http://schemas.microsoft.com/office/infopath/2007/PartnerControls">388f4f80-46e6-4bcd-8bd1-cea0059da8bd</TermId>
        </TermInfo>
      </Terms>
    </n7493b4506bf40e28c373b1e51a33445>
  </documentManagement>
</p:properties>
</file>

<file path=customXml/item4.xml><?xml version="1.0" encoding="utf-8"?>
<ct:contentTypeSchema xmlns:ct="http://schemas.microsoft.com/office/2006/metadata/contentType" xmlns:ma="http://schemas.microsoft.com/office/2006/metadata/properties/metaAttributes" ct:_="" ma:_="" ma:contentTypeName="Defra document" ma:contentTypeID="0x010100A5BF1C78D9F64B679A5EBDE1C6598EBC0100F8D2F4F0C14EEF489D81A6495532A706" ma:contentTypeVersion="39" ma:contentTypeDescription="Create a new document." ma:contentTypeScope="" ma:versionID="cde751e99fe92162a2da6a5bc4d55823">
  <xsd:schema xmlns:xsd="http://www.w3.org/2001/XMLSchema" xmlns:xs="http://www.w3.org/2001/XMLSchema" xmlns:p="http://schemas.microsoft.com/office/2006/metadata/properties" xmlns:ns1="http://schemas.microsoft.com/sharepoint/v3" xmlns:ns2="662745e8-e224-48e8-a2e3-254862b8c2f5" xmlns:ns3="63fb2e78-87de-42f7-8d79-90c3117f9953" targetNamespace="http://schemas.microsoft.com/office/2006/metadata/properties" ma:root="true" ma:fieldsID="1b3c43ef39c891674f6058a9f4a1699a" ns1:_="" ns2:_="" ns3:_="">
    <xsd:import namespace="http://schemas.microsoft.com/sharepoint/v3"/>
    <xsd:import namespace="662745e8-e224-48e8-a2e3-254862b8c2f5"/>
    <xsd:import namespace="63fb2e78-87de-42f7-8d79-90c3117f9953"/>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element ref="ns3:MediaServiceSearchProperties" minOccurs="0"/>
                <xsd:element ref="ns3:MediaServiceObjectDetectorVersions" minOccurs="0"/>
                <xsd:element ref="ns3:MediaServiceMetadata" minOccurs="0"/>
                <xsd:element ref="ns3:MediaServiceFastMetadata"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3: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6" nillable="true" ma:displayName="Unified Compliance Policy Properties" ma:hidden="true" ma:internalName="_ip_UnifiedCompliancePolicyProperties">
      <xsd:simpleType>
        <xsd:restriction base="dms:Note"/>
      </xsd:simpleType>
    </xsd:element>
    <xsd:element name="_ip_UnifiedCompliancePolicyUIAction" ma:index="3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6;#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e0ea79d2-066c-4987-af41-228aba0bfead}" ma:internalName="TaxCatchAll" ma:showField="CatchAllData" ma:web="e76eb3f9-f7d4-4afe-8d75-1839375753c6">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e0ea79d2-066c-4987-af41-228aba0bfead}" ma:internalName="TaxCatchAllLabel" ma:readOnly="true" ma:showField="CatchAllDataLabel" ma:web="e76eb3f9-f7d4-4afe-8d75-1839375753c6">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7;#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default="10;#Work Delivery|388f4f80-46e6-4bcd-8bd1-cea0059da8bd"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default="Environment Science and Analysis" ma:internalName="Team" ma:readOnly="false">
      <xsd:simpleType>
        <xsd:restriction base="dms:Text"/>
      </xsd:simpleType>
    </xsd:element>
    <xsd:element name="Topic" ma:index="20" nillable="true" ma:displayName="Topic" ma:default="Indicators" ma:internalName="Topic" ma:readOnly="false">
      <xsd:simpleType>
        <xsd:restriction base="dms:Text"/>
      </xsd:simpleType>
    </xsd:element>
    <xsd:element name="ddeb1fd0a9ad4436a96525d34737dc44" ma:index="21" nillable="true" ma:taxonomy="true" ma:internalName="ddeb1fd0a9ad4436a96525d34737dc44" ma:taxonomyFieldName="Distribution" ma:displayName="Distribution" ma:readOnly="false" ma:default="9;#External|1104eb68-55d8-494f-b6ba-c5473579de73"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readOnly="false" ma:default="8;#Core Defra|026223dd-2e56-4615-868d-7c5bfd566810"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3fb2e78-87de-42f7-8d79-90c3117f9953" elementFormDefault="qualified">
    <xsd:import namespace="http://schemas.microsoft.com/office/2006/documentManagement/types"/>
    <xsd:import namespace="http://schemas.microsoft.com/office/infopath/2007/PartnerControls"/>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DateTaken" ma:index="29" nillable="true" ma:displayName="MediaServiceDateTaken" ma:hidden="true" ma:indexed="true" ma:internalName="MediaServiceDateTaken" ma:readOnly="true">
      <xsd:simpleType>
        <xsd:restriction base="dms:Text"/>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d1117845-93f6-4da3-abaa-fcb4fa669c78"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4E294AB-C604-4332-B738-58469C7D03CB}">
  <ds:schemaRefs>
    <ds:schemaRef ds:uri="Microsoft.SharePoint.Taxonomy.ContentTypeSync"/>
  </ds:schemaRefs>
</ds:datastoreItem>
</file>

<file path=customXml/itemProps2.xml><?xml version="1.0" encoding="utf-8"?>
<ds:datastoreItem xmlns:ds="http://schemas.openxmlformats.org/officeDocument/2006/customXml" ds:itemID="{367A8B5B-8BC4-401F-B132-9F4AD02F9F0D}">
  <ds:schemaRefs>
    <ds:schemaRef ds:uri="http://schemas.microsoft.com/sharepoint/v3/contenttype/forms"/>
  </ds:schemaRefs>
</ds:datastoreItem>
</file>

<file path=customXml/itemProps3.xml><?xml version="1.0" encoding="utf-8"?>
<ds:datastoreItem xmlns:ds="http://schemas.openxmlformats.org/officeDocument/2006/customXml" ds:itemID="{10ECD052-97F5-4043-9FF8-66E0FF937B1D}">
  <ds:schemaRefs>
    <ds:schemaRef ds:uri="http://schemas.microsoft.com/office/2006/metadata/properties"/>
    <ds:schemaRef ds:uri="http://schemas.microsoft.com/office/infopath/2007/PartnerControls"/>
    <ds:schemaRef ds:uri="662745e8-e224-48e8-a2e3-254862b8c2f5"/>
    <ds:schemaRef ds:uri="http://schemas.microsoft.com/sharepoint/v3"/>
    <ds:schemaRef ds:uri="63fb2e78-87de-42f7-8d79-90c3117f9953"/>
  </ds:schemaRefs>
</ds:datastoreItem>
</file>

<file path=customXml/itemProps4.xml><?xml version="1.0" encoding="utf-8"?>
<ds:datastoreItem xmlns:ds="http://schemas.openxmlformats.org/officeDocument/2006/customXml" ds:itemID="{B3E6383B-E8F9-46E3-9C99-9B858AFF3D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62745e8-e224-48e8-a2e3-254862b8c2f5"/>
    <ds:schemaRef ds:uri="63fb2e78-87de-42f7-8d79-90c3117f99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Cover_sheet</vt:lpstr>
      <vt:lpstr>Table_of_contents</vt:lpstr>
      <vt:lpstr>Notes</vt:lpstr>
      <vt:lpstr>1</vt:lpstr>
      <vt:lpstr>2</vt:lpstr>
      <vt:lpstr>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lastModifiedBy>Balint Szilagyi</cp:lastModifiedBy>
  <cp:revision/>
  <dcterms:created xsi:type="dcterms:W3CDTF">2024-10-21T08:44:54Z</dcterms:created>
  <dcterms:modified xsi:type="dcterms:W3CDTF">2026-03-19T19:46:40Z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0x010100A5BF1C78D9F64B679A5EBDE1C6598EBC0100F8D2F4F0C14EEF489D81A6495532A706</vt:lpwstr>
  </property>
  <property fmtid="{D5CDD505-2E9C-101B-9397-08002B2CF9AE}" pid="3" name="InformationType">
    <vt:lpwstr/>
  </property>
  <property fmtid="{D5CDD505-2E9C-101B-9397-08002B2CF9AE}" pid="4" name="Distribution">
    <vt:lpwstr>9;#External|1104eb68-55d8-494f-b6ba-c5473579de73</vt:lpwstr>
  </property>
  <property fmtid="{D5CDD505-2E9C-101B-9397-08002B2CF9AE}" pid="5" name="MediaServiceImageTags">
    <vt:lpwstr/>
  </property>
  <property fmtid="{D5CDD505-2E9C-101B-9397-08002B2CF9AE}" pid="6" name="HOCopyrightLevel">
    <vt:lpwstr>7;#Crown|69589897-2828-4761-976e-717fd8e631c9</vt:lpwstr>
  </property>
  <property fmtid="{D5CDD505-2E9C-101B-9397-08002B2CF9AE}" pid="7" name="HOGovernmentSecurityClassification">
    <vt:lpwstr>6;#Official|14c80daa-741b-422c-9722-f71693c9ede4</vt:lpwstr>
  </property>
  <property fmtid="{D5CDD505-2E9C-101B-9397-08002B2CF9AE}" pid="8" name="HOSiteType">
    <vt:lpwstr>10;#Work Delivery|388f4f80-46e6-4bcd-8bd1-cea0059da8bd</vt:lpwstr>
  </property>
  <property fmtid="{D5CDD505-2E9C-101B-9397-08002B2CF9AE}" pid="9" name="OrganisationalUnit">
    <vt:lpwstr>8;#Core Defra|026223dd-2e56-4615-868d-7c5bfd566810</vt:lpwstr>
  </property>
  <property fmtid="{D5CDD505-2E9C-101B-9397-08002B2CF9AE}" pid="10" name="MSIP_Label_a48cf3d7-8126-4823-9d9e-a5c4a84b03f9_Enabled">
    <vt:lpwstr>true</vt:lpwstr>
  </property>
  <property fmtid="{D5CDD505-2E9C-101B-9397-08002B2CF9AE}" pid="11" name="MSIP_Label_a48cf3d7-8126-4823-9d9e-a5c4a84b03f9_SetDate">
    <vt:lpwstr>2026-03-19T19:46:40Z</vt:lpwstr>
  </property>
  <property fmtid="{D5CDD505-2E9C-101B-9397-08002B2CF9AE}" pid="12" name="MSIP_Label_a48cf3d7-8126-4823-9d9e-a5c4a84b03f9_Method">
    <vt:lpwstr>Standard</vt:lpwstr>
  </property>
  <property fmtid="{D5CDD505-2E9C-101B-9397-08002B2CF9AE}" pid="13" name="MSIP_Label_a48cf3d7-8126-4823-9d9e-a5c4a84b03f9_Name">
    <vt:lpwstr>Confidential - Commercial in Confidence</vt:lpwstr>
  </property>
  <property fmtid="{D5CDD505-2E9C-101B-9397-08002B2CF9AE}" pid="14" name="MSIP_Label_a48cf3d7-8126-4823-9d9e-a5c4a84b03f9_SiteId">
    <vt:lpwstr>117d98a7-bb36-4909-a0ef-20c21cdbefb2</vt:lpwstr>
  </property>
  <property fmtid="{D5CDD505-2E9C-101B-9397-08002B2CF9AE}" pid="15" name="MSIP_Label_a48cf3d7-8126-4823-9d9e-a5c4a84b03f9_ActionId">
    <vt:lpwstr>23e2522d-642b-4d45-ae3d-7b85538de9c9</vt:lpwstr>
  </property>
  <property fmtid="{D5CDD505-2E9C-101B-9397-08002B2CF9AE}" pid="16" name="MSIP_Label_a48cf3d7-8126-4823-9d9e-a5c4a84b03f9_ContentBits">
    <vt:lpwstr>1</vt:lpwstr>
  </property>
  <property fmtid="{D5CDD505-2E9C-101B-9397-08002B2CF9AE}" pid="17" name="MSIP_Label_a48cf3d7-8126-4823-9d9e-a5c4a84b03f9_Tag">
    <vt:lpwstr>10, 3, 0, 1</vt:lpwstr>
  </property>
</Properties>
</file>